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/>
  <xr:revisionPtr revIDLastSave="0" documentId="11_0E6B42410E5FF99E88225281916E9F2C76E4730C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Sales Log" sheetId="1" r:id="rId1"/>
    <sheet name="Commission Rates" sheetId="2" r:id="rId2"/>
    <sheet name="Dashboard" sheetId="3" r:id="rId3"/>
    <sheet name="Update History" sheetId="4" r:id="rId4"/>
    <sheet name="Pay Calendar" sheetId="5" r:id="rId5"/>
    <sheet name="Pay Day Totals" sheetId="6" r:id="rId6"/>
  </sheets>
  <definedNames>
    <definedName name="_xlnm._FilterDatabase" localSheetId="0" hidden="1">'Sales Log'!$A$1:$G$1000</definedName>
    <definedName name="_xlnm._FilterDatabase" localSheetId="1" hidden="1">'Commission Rates'!$A$1:$C$87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H3" i="1"/>
  <c r="I3" i="1"/>
  <c r="H4" i="1"/>
  <c r="I4" i="1"/>
  <c r="H5" i="1"/>
  <c r="I5" i="1"/>
  <c r="H1000" i="1"/>
  <c r="I1000" i="1"/>
  <c r="H999" i="1"/>
  <c r="I999" i="1"/>
  <c r="H998" i="1"/>
  <c r="I998" i="1"/>
  <c r="H997" i="1"/>
  <c r="I997" i="1"/>
  <c r="H996" i="1"/>
  <c r="I996" i="1"/>
  <c r="H995" i="1"/>
  <c r="I995" i="1"/>
  <c r="H994" i="1"/>
  <c r="I994" i="1"/>
  <c r="H993" i="1"/>
  <c r="I993" i="1"/>
  <c r="H992" i="1"/>
  <c r="I992" i="1"/>
  <c r="H991" i="1"/>
  <c r="I991" i="1"/>
  <c r="H990" i="1"/>
  <c r="I990" i="1"/>
  <c r="H989" i="1"/>
  <c r="I989" i="1"/>
  <c r="H988" i="1"/>
  <c r="I988" i="1"/>
  <c r="H987" i="1"/>
  <c r="I987" i="1"/>
  <c r="H986" i="1"/>
  <c r="I986" i="1"/>
  <c r="H985" i="1"/>
  <c r="I985" i="1"/>
  <c r="H984" i="1"/>
  <c r="I984" i="1"/>
  <c r="H983" i="1"/>
  <c r="I983" i="1"/>
  <c r="H982" i="1"/>
  <c r="I982" i="1"/>
  <c r="H981" i="1"/>
  <c r="I981" i="1"/>
  <c r="H980" i="1"/>
  <c r="I980" i="1"/>
  <c r="H979" i="1"/>
  <c r="I979" i="1"/>
  <c r="H978" i="1"/>
  <c r="I978" i="1"/>
  <c r="H977" i="1"/>
  <c r="I977" i="1"/>
  <c r="H976" i="1"/>
  <c r="I976" i="1"/>
  <c r="H975" i="1"/>
  <c r="I975" i="1"/>
  <c r="H974" i="1"/>
  <c r="I974" i="1"/>
  <c r="H973" i="1"/>
  <c r="I973" i="1"/>
  <c r="H972" i="1"/>
  <c r="I972" i="1"/>
  <c r="H971" i="1"/>
  <c r="I971" i="1"/>
  <c r="H970" i="1"/>
  <c r="I970" i="1"/>
  <c r="H969" i="1"/>
  <c r="I969" i="1"/>
  <c r="H968" i="1"/>
  <c r="I968" i="1"/>
  <c r="H967" i="1"/>
  <c r="I967" i="1"/>
  <c r="H966" i="1"/>
  <c r="I966" i="1"/>
  <c r="H965" i="1"/>
  <c r="I965" i="1"/>
  <c r="H964" i="1"/>
  <c r="I964" i="1"/>
  <c r="H963" i="1"/>
  <c r="I963" i="1"/>
  <c r="H962" i="1"/>
  <c r="I962" i="1"/>
  <c r="H961" i="1"/>
  <c r="I961" i="1"/>
  <c r="H960" i="1"/>
  <c r="I960" i="1"/>
  <c r="H959" i="1"/>
  <c r="I959" i="1"/>
  <c r="H958" i="1"/>
  <c r="I958" i="1"/>
  <c r="H957" i="1"/>
  <c r="I957" i="1"/>
  <c r="H956" i="1"/>
  <c r="I956" i="1"/>
  <c r="H955" i="1"/>
  <c r="I955" i="1"/>
  <c r="H954" i="1"/>
  <c r="I954" i="1"/>
  <c r="H953" i="1"/>
  <c r="I953" i="1"/>
  <c r="H952" i="1"/>
  <c r="I952" i="1"/>
  <c r="H951" i="1"/>
  <c r="I951" i="1"/>
  <c r="H950" i="1"/>
  <c r="I950" i="1"/>
  <c r="H949" i="1"/>
  <c r="I949" i="1"/>
  <c r="H948" i="1"/>
  <c r="I948" i="1"/>
  <c r="H947" i="1"/>
  <c r="I947" i="1"/>
  <c r="H946" i="1"/>
  <c r="I946" i="1"/>
  <c r="H945" i="1"/>
  <c r="I945" i="1"/>
  <c r="H944" i="1"/>
  <c r="I944" i="1"/>
  <c r="H943" i="1"/>
  <c r="I943" i="1"/>
  <c r="H942" i="1"/>
  <c r="I942" i="1"/>
  <c r="H941" i="1"/>
  <c r="I941" i="1"/>
  <c r="H940" i="1"/>
  <c r="I940" i="1"/>
  <c r="H939" i="1"/>
  <c r="I939" i="1"/>
  <c r="H938" i="1"/>
  <c r="I938" i="1"/>
  <c r="H937" i="1"/>
  <c r="I937" i="1"/>
  <c r="H936" i="1"/>
  <c r="I936" i="1"/>
  <c r="H935" i="1"/>
  <c r="I935" i="1"/>
  <c r="H934" i="1"/>
  <c r="I934" i="1"/>
  <c r="H933" i="1"/>
  <c r="I933" i="1"/>
  <c r="H932" i="1"/>
  <c r="I932" i="1"/>
  <c r="H931" i="1"/>
  <c r="I931" i="1"/>
  <c r="H930" i="1"/>
  <c r="I930" i="1"/>
  <c r="H929" i="1"/>
  <c r="I929" i="1"/>
  <c r="H928" i="1"/>
  <c r="I928" i="1"/>
  <c r="H927" i="1"/>
  <c r="I927" i="1"/>
  <c r="H926" i="1"/>
  <c r="I926" i="1"/>
  <c r="H925" i="1"/>
  <c r="I925" i="1"/>
  <c r="H924" i="1"/>
  <c r="I924" i="1"/>
  <c r="H923" i="1"/>
  <c r="I923" i="1"/>
  <c r="H922" i="1"/>
  <c r="I922" i="1"/>
  <c r="H921" i="1"/>
  <c r="I921" i="1"/>
  <c r="H920" i="1"/>
  <c r="I920" i="1"/>
  <c r="H919" i="1"/>
  <c r="I919" i="1"/>
  <c r="H918" i="1"/>
  <c r="I918" i="1"/>
  <c r="H917" i="1"/>
  <c r="I917" i="1"/>
  <c r="H916" i="1"/>
  <c r="I916" i="1"/>
  <c r="H915" i="1"/>
  <c r="I915" i="1"/>
  <c r="H914" i="1"/>
  <c r="I914" i="1"/>
  <c r="H913" i="1"/>
  <c r="I913" i="1"/>
  <c r="H912" i="1"/>
  <c r="I912" i="1"/>
  <c r="H911" i="1"/>
  <c r="I911" i="1"/>
  <c r="H910" i="1"/>
  <c r="I910" i="1"/>
  <c r="H909" i="1"/>
  <c r="I909" i="1"/>
  <c r="H908" i="1"/>
  <c r="I908" i="1"/>
  <c r="H907" i="1"/>
  <c r="I907" i="1"/>
  <c r="H906" i="1"/>
  <c r="I906" i="1"/>
  <c r="H905" i="1"/>
  <c r="I905" i="1"/>
  <c r="H904" i="1"/>
  <c r="I904" i="1"/>
  <c r="H903" i="1"/>
  <c r="I903" i="1"/>
  <c r="H902" i="1"/>
  <c r="I902" i="1"/>
  <c r="H901" i="1"/>
  <c r="I901" i="1"/>
  <c r="H900" i="1"/>
  <c r="I900" i="1"/>
  <c r="H899" i="1"/>
  <c r="I899" i="1"/>
  <c r="H898" i="1"/>
  <c r="I898" i="1"/>
  <c r="H897" i="1"/>
  <c r="I897" i="1"/>
  <c r="H896" i="1"/>
  <c r="I896" i="1"/>
  <c r="H895" i="1"/>
  <c r="I895" i="1"/>
  <c r="H894" i="1"/>
  <c r="I894" i="1"/>
  <c r="H893" i="1"/>
  <c r="I893" i="1"/>
  <c r="H892" i="1"/>
  <c r="I892" i="1"/>
  <c r="H891" i="1"/>
  <c r="I891" i="1"/>
  <c r="H890" i="1"/>
  <c r="I890" i="1"/>
  <c r="H889" i="1"/>
  <c r="I889" i="1"/>
  <c r="H888" i="1"/>
  <c r="I888" i="1"/>
  <c r="H887" i="1"/>
  <c r="I887" i="1"/>
  <c r="H886" i="1"/>
  <c r="I886" i="1"/>
  <c r="H885" i="1"/>
  <c r="I885" i="1"/>
  <c r="H884" i="1"/>
  <c r="I884" i="1"/>
  <c r="H883" i="1"/>
  <c r="I883" i="1"/>
  <c r="H882" i="1"/>
  <c r="I882" i="1"/>
  <c r="H881" i="1"/>
  <c r="I881" i="1"/>
  <c r="H880" i="1"/>
  <c r="I880" i="1"/>
  <c r="H879" i="1"/>
  <c r="I879" i="1"/>
  <c r="H878" i="1"/>
  <c r="I878" i="1"/>
  <c r="H877" i="1"/>
  <c r="I877" i="1"/>
  <c r="H876" i="1"/>
  <c r="I876" i="1"/>
  <c r="H875" i="1"/>
  <c r="I875" i="1"/>
  <c r="H874" i="1"/>
  <c r="I874" i="1"/>
  <c r="H873" i="1"/>
  <c r="I873" i="1"/>
  <c r="H872" i="1"/>
  <c r="I872" i="1"/>
  <c r="H871" i="1"/>
  <c r="I871" i="1"/>
  <c r="H870" i="1"/>
  <c r="I870" i="1"/>
  <c r="H869" i="1"/>
  <c r="I869" i="1"/>
  <c r="H868" i="1"/>
  <c r="I868" i="1"/>
  <c r="H867" i="1"/>
  <c r="I867" i="1"/>
  <c r="H866" i="1"/>
  <c r="I866" i="1"/>
  <c r="H865" i="1"/>
  <c r="I865" i="1"/>
  <c r="H864" i="1"/>
  <c r="I864" i="1"/>
  <c r="H863" i="1"/>
  <c r="I863" i="1"/>
  <c r="H862" i="1"/>
  <c r="I862" i="1"/>
  <c r="H861" i="1"/>
  <c r="I861" i="1"/>
  <c r="H860" i="1"/>
  <c r="I860" i="1"/>
  <c r="H859" i="1"/>
  <c r="I859" i="1"/>
  <c r="H858" i="1"/>
  <c r="I858" i="1"/>
  <c r="H857" i="1"/>
  <c r="I857" i="1"/>
  <c r="H856" i="1"/>
  <c r="I856" i="1"/>
  <c r="H855" i="1"/>
  <c r="I855" i="1"/>
  <c r="H854" i="1"/>
  <c r="I854" i="1"/>
  <c r="H853" i="1"/>
  <c r="I853" i="1"/>
  <c r="H852" i="1"/>
  <c r="I852" i="1"/>
  <c r="H851" i="1"/>
  <c r="I851" i="1"/>
  <c r="H850" i="1"/>
  <c r="I850" i="1"/>
  <c r="H849" i="1"/>
  <c r="I849" i="1"/>
  <c r="H848" i="1"/>
  <c r="I848" i="1"/>
  <c r="H847" i="1"/>
  <c r="I847" i="1"/>
  <c r="H846" i="1"/>
  <c r="I846" i="1"/>
  <c r="H845" i="1"/>
  <c r="I845" i="1"/>
  <c r="H844" i="1"/>
  <c r="I844" i="1"/>
  <c r="H843" i="1"/>
  <c r="I843" i="1"/>
  <c r="H842" i="1"/>
  <c r="I842" i="1"/>
  <c r="H841" i="1"/>
  <c r="I841" i="1"/>
  <c r="H840" i="1"/>
  <c r="I840" i="1"/>
  <c r="H839" i="1"/>
  <c r="I839" i="1"/>
  <c r="H838" i="1"/>
  <c r="I838" i="1"/>
  <c r="H837" i="1"/>
  <c r="I837" i="1"/>
  <c r="H836" i="1"/>
  <c r="I836" i="1"/>
  <c r="H835" i="1"/>
  <c r="I835" i="1"/>
  <c r="H834" i="1"/>
  <c r="I834" i="1"/>
  <c r="H833" i="1"/>
  <c r="I833" i="1"/>
  <c r="H832" i="1"/>
  <c r="I832" i="1"/>
  <c r="H831" i="1"/>
  <c r="I831" i="1"/>
  <c r="H830" i="1"/>
  <c r="I830" i="1"/>
  <c r="H829" i="1"/>
  <c r="I829" i="1"/>
  <c r="H828" i="1"/>
  <c r="I828" i="1"/>
  <c r="H827" i="1"/>
  <c r="I827" i="1"/>
  <c r="H826" i="1"/>
  <c r="I826" i="1"/>
  <c r="H825" i="1"/>
  <c r="I825" i="1"/>
  <c r="H824" i="1"/>
  <c r="I824" i="1"/>
  <c r="H823" i="1"/>
  <c r="I823" i="1"/>
  <c r="H822" i="1"/>
  <c r="I822" i="1"/>
  <c r="H821" i="1"/>
  <c r="I821" i="1"/>
  <c r="H820" i="1"/>
  <c r="I820" i="1"/>
  <c r="H819" i="1"/>
  <c r="I819" i="1"/>
  <c r="H818" i="1"/>
  <c r="I818" i="1"/>
  <c r="H817" i="1"/>
  <c r="I817" i="1"/>
  <c r="H816" i="1"/>
  <c r="I816" i="1"/>
  <c r="H815" i="1"/>
  <c r="I815" i="1"/>
  <c r="H814" i="1"/>
  <c r="I814" i="1"/>
  <c r="H813" i="1"/>
  <c r="I813" i="1"/>
  <c r="H812" i="1"/>
  <c r="I812" i="1"/>
  <c r="H811" i="1"/>
  <c r="I811" i="1"/>
  <c r="H810" i="1"/>
  <c r="I810" i="1"/>
  <c r="H809" i="1"/>
  <c r="I809" i="1"/>
  <c r="H808" i="1"/>
  <c r="I808" i="1"/>
  <c r="H807" i="1"/>
  <c r="I807" i="1"/>
  <c r="H806" i="1"/>
  <c r="I806" i="1"/>
  <c r="H805" i="1"/>
  <c r="I805" i="1"/>
  <c r="H804" i="1"/>
  <c r="I804" i="1"/>
  <c r="H803" i="1"/>
  <c r="I803" i="1"/>
  <c r="H802" i="1"/>
  <c r="I802" i="1"/>
  <c r="H801" i="1"/>
  <c r="I801" i="1"/>
  <c r="H800" i="1"/>
  <c r="I800" i="1"/>
  <c r="H799" i="1"/>
  <c r="I799" i="1"/>
  <c r="H798" i="1"/>
  <c r="I798" i="1"/>
  <c r="H797" i="1"/>
  <c r="I797" i="1"/>
  <c r="H796" i="1"/>
  <c r="I796" i="1"/>
  <c r="H795" i="1"/>
  <c r="I795" i="1"/>
  <c r="H794" i="1"/>
  <c r="I794" i="1"/>
  <c r="H793" i="1"/>
  <c r="I793" i="1"/>
  <c r="H792" i="1"/>
  <c r="I792" i="1"/>
  <c r="H791" i="1"/>
  <c r="I791" i="1"/>
  <c r="H790" i="1"/>
  <c r="I790" i="1"/>
  <c r="H789" i="1"/>
  <c r="I789" i="1"/>
  <c r="H788" i="1"/>
  <c r="I788" i="1"/>
  <c r="H787" i="1"/>
  <c r="I787" i="1"/>
  <c r="H786" i="1"/>
  <c r="I786" i="1"/>
  <c r="H785" i="1"/>
  <c r="I785" i="1"/>
  <c r="H784" i="1"/>
  <c r="I784" i="1"/>
  <c r="H783" i="1"/>
  <c r="I783" i="1"/>
  <c r="H782" i="1"/>
  <c r="I782" i="1"/>
  <c r="H781" i="1"/>
  <c r="I781" i="1"/>
  <c r="H780" i="1"/>
  <c r="I780" i="1"/>
  <c r="H779" i="1"/>
  <c r="I779" i="1"/>
  <c r="H778" i="1"/>
  <c r="I778" i="1"/>
  <c r="H777" i="1"/>
  <c r="I777" i="1"/>
  <c r="H776" i="1"/>
  <c r="I776" i="1"/>
  <c r="H775" i="1"/>
  <c r="I775" i="1"/>
  <c r="H774" i="1"/>
  <c r="I774" i="1"/>
  <c r="H773" i="1"/>
  <c r="I773" i="1"/>
  <c r="H772" i="1"/>
  <c r="I772" i="1"/>
  <c r="H771" i="1"/>
  <c r="I771" i="1"/>
  <c r="H770" i="1"/>
  <c r="I770" i="1"/>
  <c r="H769" i="1"/>
  <c r="I769" i="1"/>
  <c r="H768" i="1"/>
  <c r="I768" i="1"/>
  <c r="H767" i="1"/>
  <c r="I767" i="1"/>
  <c r="H766" i="1"/>
  <c r="I766" i="1"/>
  <c r="H765" i="1"/>
  <c r="I765" i="1"/>
  <c r="H764" i="1"/>
  <c r="I764" i="1"/>
  <c r="H763" i="1"/>
  <c r="I763" i="1"/>
  <c r="H762" i="1"/>
  <c r="I762" i="1"/>
  <c r="H761" i="1"/>
  <c r="I761" i="1"/>
  <c r="H760" i="1"/>
  <c r="I760" i="1"/>
  <c r="H759" i="1"/>
  <c r="I759" i="1"/>
  <c r="H758" i="1"/>
  <c r="I758" i="1"/>
  <c r="H757" i="1"/>
  <c r="I757" i="1"/>
  <c r="H756" i="1"/>
  <c r="I756" i="1"/>
  <c r="H755" i="1"/>
  <c r="I755" i="1"/>
  <c r="H754" i="1"/>
  <c r="I754" i="1"/>
  <c r="H753" i="1"/>
  <c r="I753" i="1"/>
  <c r="H752" i="1"/>
  <c r="I752" i="1"/>
  <c r="H751" i="1"/>
  <c r="I751" i="1"/>
  <c r="H750" i="1"/>
  <c r="I750" i="1"/>
  <c r="H749" i="1"/>
  <c r="I749" i="1"/>
  <c r="H748" i="1"/>
  <c r="I748" i="1"/>
  <c r="H747" i="1"/>
  <c r="I747" i="1"/>
  <c r="H746" i="1"/>
  <c r="I746" i="1"/>
  <c r="H745" i="1"/>
  <c r="I745" i="1"/>
  <c r="H744" i="1"/>
  <c r="I744" i="1"/>
  <c r="H743" i="1"/>
  <c r="I743" i="1"/>
  <c r="H742" i="1"/>
  <c r="I742" i="1"/>
  <c r="H741" i="1"/>
  <c r="I741" i="1"/>
  <c r="H740" i="1"/>
  <c r="I740" i="1"/>
  <c r="H739" i="1"/>
  <c r="I739" i="1"/>
  <c r="H738" i="1"/>
  <c r="I738" i="1"/>
  <c r="H737" i="1"/>
  <c r="I737" i="1"/>
  <c r="H736" i="1"/>
  <c r="I736" i="1"/>
  <c r="H735" i="1"/>
  <c r="I735" i="1"/>
  <c r="H734" i="1"/>
  <c r="I734" i="1"/>
  <c r="H733" i="1"/>
  <c r="I733" i="1"/>
  <c r="H732" i="1"/>
  <c r="I732" i="1"/>
  <c r="H731" i="1"/>
  <c r="I731" i="1"/>
  <c r="H730" i="1"/>
  <c r="I730" i="1"/>
  <c r="H729" i="1"/>
  <c r="I729" i="1"/>
  <c r="H728" i="1"/>
  <c r="I728" i="1"/>
  <c r="H727" i="1"/>
  <c r="I727" i="1"/>
  <c r="H726" i="1"/>
  <c r="I726" i="1"/>
  <c r="H725" i="1"/>
  <c r="I725" i="1"/>
  <c r="H724" i="1"/>
  <c r="I724" i="1"/>
  <c r="H723" i="1"/>
  <c r="I723" i="1"/>
  <c r="H722" i="1"/>
  <c r="I722" i="1"/>
  <c r="H721" i="1"/>
  <c r="I721" i="1"/>
  <c r="H720" i="1"/>
  <c r="I720" i="1"/>
  <c r="H719" i="1"/>
  <c r="I719" i="1"/>
  <c r="H718" i="1"/>
  <c r="I718" i="1"/>
  <c r="H717" i="1"/>
  <c r="I717" i="1"/>
  <c r="H716" i="1"/>
  <c r="I716" i="1"/>
  <c r="H715" i="1"/>
  <c r="I715" i="1"/>
  <c r="H714" i="1"/>
  <c r="I714" i="1"/>
  <c r="H713" i="1"/>
  <c r="I713" i="1"/>
  <c r="H712" i="1"/>
  <c r="I712" i="1"/>
  <c r="H711" i="1"/>
  <c r="I711" i="1"/>
  <c r="H710" i="1"/>
  <c r="I710" i="1"/>
  <c r="H709" i="1"/>
  <c r="I709" i="1"/>
  <c r="H708" i="1"/>
  <c r="I708" i="1"/>
  <c r="H707" i="1"/>
  <c r="I707" i="1"/>
  <c r="H706" i="1"/>
  <c r="I706" i="1"/>
  <c r="H705" i="1"/>
  <c r="I705" i="1"/>
  <c r="H704" i="1"/>
  <c r="I704" i="1"/>
  <c r="H703" i="1"/>
  <c r="I703" i="1"/>
  <c r="H702" i="1"/>
  <c r="I702" i="1"/>
  <c r="H701" i="1"/>
  <c r="I701" i="1"/>
  <c r="H700" i="1"/>
  <c r="I700" i="1"/>
  <c r="H699" i="1"/>
  <c r="I699" i="1"/>
  <c r="H698" i="1"/>
  <c r="I698" i="1"/>
  <c r="H697" i="1"/>
  <c r="I697" i="1"/>
  <c r="H696" i="1"/>
  <c r="I696" i="1"/>
  <c r="H695" i="1"/>
  <c r="I695" i="1"/>
  <c r="H694" i="1"/>
  <c r="I694" i="1"/>
  <c r="H693" i="1"/>
  <c r="I693" i="1"/>
  <c r="H692" i="1"/>
  <c r="I692" i="1"/>
  <c r="H691" i="1"/>
  <c r="I691" i="1"/>
  <c r="H690" i="1"/>
  <c r="I690" i="1"/>
  <c r="H689" i="1"/>
  <c r="I689" i="1"/>
  <c r="H688" i="1"/>
  <c r="I688" i="1"/>
  <c r="H687" i="1"/>
  <c r="I687" i="1"/>
  <c r="H686" i="1"/>
  <c r="I686" i="1"/>
  <c r="H685" i="1"/>
  <c r="I685" i="1"/>
  <c r="H684" i="1"/>
  <c r="I684" i="1"/>
  <c r="H683" i="1"/>
  <c r="I683" i="1"/>
  <c r="H682" i="1"/>
  <c r="I682" i="1"/>
  <c r="H681" i="1"/>
  <c r="I681" i="1"/>
  <c r="H680" i="1"/>
  <c r="I680" i="1"/>
  <c r="H679" i="1"/>
  <c r="I679" i="1"/>
  <c r="H678" i="1"/>
  <c r="I678" i="1"/>
  <c r="H677" i="1"/>
  <c r="I677" i="1"/>
  <c r="H676" i="1"/>
  <c r="I676" i="1"/>
  <c r="H675" i="1"/>
  <c r="I675" i="1"/>
  <c r="H674" i="1"/>
  <c r="I674" i="1"/>
  <c r="H673" i="1"/>
  <c r="I673" i="1"/>
  <c r="H672" i="1"/>
  <c r="I672" i="1"/>
  <c r="H671" i="1"/>
  <c r="I671" i="1"/>
  <c r="H670" i="1"/>
  <c r="I670" i="1"/>
  <c r="H669" i="1"/>
  <c r="I669" i="1"/>
  <c r="H668" i="1"/>
  <c r="I668" i="1"/>
  <c r="H667" i="1"/>
  <c r="I667" i="1"/>
  <c r="H666" i="1"/>
  <c r="I666" i="1"/>
  <c r="H665" i="1"/>
  <c r="I665" i="1"/>
  <c r="H664" i="1"/>
  <c r="I664" i="1"/>
  <c r="H663" i="1"/>
  <c r="I663" i="1"/>
  <c r="H662" i="1"/>
  <c r="I662" i="1"/>
  <c r="H661" i="1"/>
  <c r="I661" i="1"/>
  <c r="H660" i="1"/>
  <c r="I660" i="1"/>
  <c r="H659" i="1"/>
  <c r="I659" i="1"/>
  <c r="H658" i="1"/>
  <c r="I658" i="1"/>
  <c r="H657" i="1"/>
  <c r="I657" i="1"/>
  <c r="H656" i="1"/>
  <c r="I656" i="1"/>
  <c r="H655" i="1"/>
  <c r="I655" i="1"/>
  <c r="H654" i="1"/>
  <c r="I654" i="1"/>
  <c r="H653" i="1"/>
  <c r="I653" i="1"/>
  <c r="H652" i="1"/>
  <c r="I652" i="1"/>
  <c r="H651" i="1"/>
  <c r="I651" i="1"/>
  <c r="H650" i="1"/>
  <c r="I650" i="1"/>
  <c r="H649" i="1"/>
  <c r="I649" i="1"/>
  <c r="H648" i="1"/>
  <c r="I648" i="1"/>
  <c r="H647" i="1"/>
  <c r="I647" i="1"/>
  <c r="H646" i="1"/>
  <c r="I646" i="1"/>
  <c r="H645" i="1"/>
  <c r="I645" i="1"/>
  <c r="H644" i="1"/>
  <c r="I644" i="1"/>
  <c r="H643" i="1"/>
  <c r="I643" i="1"/>
  <c r="H642" i="1"/>
  <c r="I642" i="1"/>
  <c r="H641" i="1"/>
  <c r="I641" i="1"/>
  <c r="H640" i="1"/>
  <c r="I640" i="1"/>
  <c r="H639" i="1"/>
  <c r="I639" i="1"/>
  <c r="H638" i="1"/>
  <c r="I638" i="1"/>
  <c r="H637" i="1"/>
  <c r="I637" i="1"/>
  <c r="H636" i="1"/>
  <c r="I636" i="1"/>
  <c r="H635" i="1"/>
  <c r="I635" i="1"/>
  <c r="H634" i="1"/>
  <c r="I634" i="1"/>
  <c r="H633" i="1"/>
  <c r="I633" i="1"/>
  <c r="H632" i="1"/>
  <c r="I632" i="1"/>
  <c r="H631" i="1"/>
  <c r="I631" i="1"/>
  <c r="H630" i="1"/>
  <c r="I630" i="1"/>
  <c r="H629" i="1"/>
  <c r="I629" i="1"/>
  <c r="H628" i="1"/>
  <c r="I628" i="1"/>
  <c r="H627" i="1"/>
  <c r="I627" i="1"/>
  <c r="H626" i="1"/>
  <c r="I626" i="1"/>
  <c r="H625" i="1"/>
  <c r="I625" i="1"/>
  <c r="H624" i="1"/>
  <c r="I624" i="1"/>
  <c r="H623" i="1"/>
  <c r="I623" i="1"/>
  <c r="H622" i="1"/>
  <c r="I622" i="1"/>
  <c r="H621" i="1"/>
  <c r="I621" i="1"/>
  <c r="H620" i="1"/>
  <c r="I620" i="1"/>
  <c r="H619" i="1"/>
  <c r="I619" i="1"/>
  <c r="H618" i="1"/>
  <c r="I618" i="1"/>
  <c r="H617" i="1"/>
  <c r="I617" i="1"/>
  <c r="H616" i="1"/>
  <c r="I616" i="1"/>
  <c r="H615" i="1"/>
  <c r="I615" i="1"/>
  <c r="H614" i="1"/>
  <c r="I614" i="1"/>
  <c r="H613" i="1"/>
  <c r="I613" i="1"/>
  <c r="H612" i="1"/>
  <c r="I612" i="1"/>
  <c r="H611" i="1"/>
  <c r="I611" i="1"/>
  <c r="H610" i="1"/>
  <c r="I610" i="1"/>
  <c r="H609" i="1"/>
  <c r="I609" i="1"/>
  <c r="H608" i="1"/>
  <c r="I608" i="1"/>
  <c r="H607" i="1"/>
  <c r="I607" i="1"/>
  <c r="H606" i="1"/>
  <c r="I606" i="1"/>
  <c r="H605" i="1"/>
  <c r="I605" i="1"/>
  <c r="H604" i="1"/>
  <c r="I604" i="1"/>
  <c r="H603" i="1"/>
  <c r="I603" i="1"/>
  <c r="H602" i="1"/>
  <c r="I602" i="1"/>
  <c r="H601" i="1"/>
  <c r="I601" i="1"/>
  <c r="H600" i="1"/>
  <c r="I600" i="1"/>
  <c r="H599" i="1"/>
  <c r="I599" i="1"/>
  <c r="H598" i="1"/>
  <c r="I598" i="1"/>
  <c r="H597" i="1"/>
  <c r="I597" i="1"/>
  <c r="H596" i="1"/>
  <c r="I596" i="1"/>
  <c r="H595" i="1"/>
  <c r="I595" i="1"/>
  <c r="H594" i="1"/>
  <c r="I594" i="1"/>
  <c r="H593" i="1"/>
  <c r="I593" i="1"/>
  <c r="H592" i="1"/>
  <c r="I592" i="1"/>
  <c r="H591" i="1"/>
  <c r="I591" i="1"/>
  <c r="H590" i="1"/>
  <c r="I590" i="1"/>
  <c r="H589" i="1"/>
  <c r="I589" i="1"/>
  <c r="H588" i="1"/>
  <c r="I588" i="1"/>
  <c r="H587" i="1"/>
  <c r="I587" i="1"/>
  <c r="H586" i="1"/>
  <c r="I586" i="1"/>
  <c r="H585" i="1"/>
  <c r="I585" i="1"/>
  <c r="H584" i="1"/>
  <c r="I584" i="1"/>
  <c r="H583" i="1"/>
  <c r="I583" i="1"/>
  <c r="H582" i="1"/>
  <c r="I582" i="1"/>
  <c r="H581" i="1"/>
  <c r="I581" i="1"/>
  <c r="H580" i="1"/>
  <c r="I580" i="1"/>
  <c r="H579" i="1"/>
  <c r="I579" i="1"/>
  <c r="H578" i="1"/>
  <c r="I578" i="1"/>
  <c r="H577" i="1"/>
  <c r="I577" i="1"/>
  <c r="H576" i="1"/>
  <c r="I576" i="1"/>
  <c r="H575" i="1"/>
  <c r="I575" i="1"/>
  <c r="H574" i="1"/>
  <c r="I574" i="1"/>
  <c r="H573" i="1"/>
  <c r="I573" i="1"/>
  <c r="H572" i="1"/>
  <c r="I572" i="1"/>
  <c r="H571" i="1"/>
  <c r="I571" i="1"/>
  <c r="H570" i="1"/>
  <c r="I570" i="1"/>
  <c r="H569" i="1"/>
  <c r="I569" i="1"/>
  <c r="H568" i="1"/>
  <c r="I568" i="1"/>
  <c r="H567" i="1"/>
  <c r="I567" i="1"/>
  <c r="H566" i="1"/>
  <c r="I566" i="1"/>
  <c r="H565" i="1"/>
  <c r="I565" i="1"/>
  <c r="H564" i="1"/>
  <c r="I564" i="1"/>
  <c r="H563" i="1"/>
  <c r="I563" i="1"/>
  <c r="H562" i="1"/>
  <c r="I562" i="1"/>
  <c r="H561" i="1"/>
  <c r="I561" i="1"/>
  <c r="H560" i="1"/>
  <c r="I560" i="1"/>
  <c r="H559" i="1"/>
  <c r="I559" i="1"/>
  <c r="H558" i="1"/>
  <c r="I558" i="1"/>
  <c r="H557" i="1"/>
  <c r="I557" i="1"/>
  <c r="H556" i="1"/>
  <c r="I556" i="1"/>
  <c r="H555" i="1"/>
  <c r="I555" i="1"/>
  <c r="H554" i="1"/>
  <c r="I554" i="1"/>
  <c r="H553" i="1"/>
  <c r="I553" i="1"/>
  <c r="H552" i="1"/>
  <c r="I552" i="1"/>
  <c r="H551" i="1"/>
  <c r="I551" i="1"/>
  <c r="H550" i="1"/>
  <c r="I550" i="1"/>
  <c r="H549" i="1"/>
  <c r="I549" i="1"/>
  <c r="H548" i="1"/>
  <c r="I548" i="1"/>
  <c r="H547" i="1"/>
  <c r="I547" i="1"/>
  <c r="H546" i="1"/>
  <c r="I546" i="1"/>
  <c r="H545" i="1"/>
  <c r="I545" i="1"/>
  <c r="H544" i="1"/>
  <c r="I544" i="1"/>
  <c r="H543" i="1"/>
  <c r="I543" i="1"/>
  <c r="H542" i="1"/>
  <c r="I542" i="1"/>
  <c r="H541" i="1"/>
  <c r="I541" i="1"/>
  <c r="H540" i="1"/>
  <c r="I540" i="1"/>
  <c r="H539" i="1"/>
  <c r="I539" i="1"/>
  <c r="H538" i="1"/>
  <c r="I538" i="1"/>
  <c r="H537" i="1"/>
  <c r="I537" i="1"/>
  <c r="H536" i="1"/>
  <c r="I536" i="1"/>
  <c r="H535" i="1"/>
  <c r="I535" i="1"/>
  <c r="H534" i="1"/>
  <c r="I534" i="1"/>
  <c r="H533" i="1"/>
  <c r="I533" i="1"/>
  <c r="H532" i="1"/>
  <c r="I532" i="1"/>
  <c r="H531" i="1"/>
  <c r="I531" i="1"/>
  <c r="H530" i="1"/>
  <c r="I530" i="1"/>
  <c r="H529" i="1"/>
  <c r="I529" i="1"/>
  <c r="H528" i="1"/>
  <c r="I528" i="1"/>
  <c r="H527" i="1"/>
  <c r="I527" i="1"/>
  <c r="H526" i="1"/>
  <c r="I526" i="1"/>
  <c r="H525" i="1"/>
  <c r="I525" i="1"/>
  <c r="H524" i="1"/>
  <c r="I524" i="1"/>
  <c r="H523" i="1"/>
  <c r="I523" i="1"/>
  <c r="H522" i="1"/>
  <c r="I522" i="1"/>
  <c r="H521" i="1"/>
  <c r="I521" i="1"/>
  <c r="H520" i="1"/>
  <c r="I520" i="1"/>
  <c r="H519" i="1"/>
  <c r="I519" i="1"/>
  <c r="H518" i="1"/>
  <c r="I518" i="1"/>
  <c r="H517" i="1"/>
  <c r="I517" i="1"/>
  <c r="H516" i="1"/>
  <c r="I516" i="1"/>
  <c r="H515" i="1"/>
  <c r="I515" i="1"/>
  <c r="H514" i="1"/>
  <c r="I514" i="1"/>
  <c r="H513" i="1"/>
  <c r="I513" i="1"/>
  <c r="H512" i="1"/>
  <c r="I512" i="1"/>
  <c r="H511" i="1"/>
  <c r="I511" i="1"/>
  <c r="H510" i="1"/>
  <c r="I510" i="1"/>
  <c r="H509" i="1"/>
  <c r="I509" i="1"/>
  <c r="H508" i="1"/>
  <c r="I508" i="1"/>
  <c r="H507" i="1"/>
  <c r="I507" i="1"/>
  <c r="H506" i="1"/>
  <c r="I506" i="1"/>
  <c r="H505" i="1"/>
  <c r="I505" i="1"/>
  <c r="H504" i="1"/>
  <c r="I504" i="1"/>
  <c r="H503" i="1"/>
  <c r="I503" i="1"/>
  <c r="H502" i="1"/>
  <c r="I502" i="1"/>
  <c r="H501" i="1"/>
  <c r="I501" i="1"/>
  <c r="H500" i="1"/>
  <c r="I500" i="1"/>
  <c r="H499" i="1"/>
  <c r="I499" i="1"/>
  <c r="H498" i="1"/>
  <c r="I498" i="1"/>
  <c r="H497" i="1"/>
  <c r="I497" i="1"/>
  <c r="H496" i="1"/>
  <c r="I496" i="1"/>
  <c r="H495" i="1"/>
  <c r="I495" i="1"/>
  <c r="H494" i="1"/>
  <c r="I494" i="1"/>
  <c r="H493" i="1"/>
  <c r="I493" i="1"/>
  <c r="H492" i="1"/>
  <c r="I492" i="1"/>
  <c r="H491" i="1"/>
  <c r="I491" i="1"/>
  <c r="H490" i="1"/>
  <c r="I490" i="1"/>
  <c r="H489" i="1"/>
  <c r="I489" i="1"/>
  <c r="H488" i="1"/>
  <c r="I488" i="1"/>
  <c r="H487" i="1"/>
  <c r="I487" i="1"/>
  <c r="H486" i="1"/>
  <c r="I486" i="1"/>
  <c r="H485" i="1"/>
  <c r="I485" i="1"/>
  <c r="H484" i="1"/>
  <c r="I484" i="1"/>
  <c r="H483" i="1"/>
  <c r="I483" i="1"/>
  <c r="H482" i="1"/>
  <c r="I482" i="1"/>
  <c r="H481" i="1"/>
  <c r="I481" i="1"/>
  <c r="H480" i="1"/>
  <c r="I480" i="1"/>
  <c r="H479" i="1"/>
  <c r="I479" i="1"/>
  <c r="H478" i="1"/>
  <c r="I478" i="1"/>
  <c r="H477" i="1"/>
  <c r="I477" i="1"/>
  <c r="H476" i="1"/>
  <c r="I476" i="1"/>
  <c r="H475" i="1"/>
  <c r="I475" i="1"/>
  <c r="H474" i="1"/>
  <c r="I474" i="1"/>
  <c r="H473" i="1"/>
  <c r="I473" i="1"/>
  <c r="H472" i="1"/>
  <c r="I472" i="1"/>
  <c r="H471" i="1"/>
  <c r="I471" i="1"/>
  <c r="H470" i="1"/>
  <c r="I470" i="1"/>
  <c r="H469" i="1"/>
  <c r="I469" i="1"/>
  <c r="H468" i="1"/>
  <c r="I468" i="1"/>
  <c r="H467" i="1"/>
  <c r="I467" i="1"/>
  <c r="H466" i="1"/>
  <c r="I466" i="1"/>
  <c r="H465" i="1"/>
  <c r="I465" i="1"/>
  <c r="H464" i="1"/>
  <c r="I464" i="1"/>
  <c r="H463" i="1"/>
  <c r="I463" i="1"/>
  <c r="H462" i="1"/>
  <c r="I462" i="1"/>
  <c r="H461" i="1"/>
  <c r="I461" i="1"/>
  <c r="H460" i="1"/>
  <c r="I460" i="1"/>
  <c r="H459" i="1"/>
  <c r="I459" i="1"/>
  <c r="H458" i="1"/>
  <c r="I458" i="1"/>
  <c r="H457" i="1"/>
  <c r="I457" i="1"/>
  <c r="H456" i="1"/>
  <c r="I456" i="1"/>
  <c r="H455" i="1"/>
  <c r="I455" i="1"/>
  <c r="H454" i="1"/>
  <c r="I454" i="1"/>
  <c r="H453" i="1"/>
  <c r="I453" i="1"/>
  <c r="H452" i="1"/>
  <c r="I452" i="1"/>
  <c r="H451" i="1"/>
  <c r="I451" i="1"/>
  <c r="H450" i="1"/>
  <c r="I450" i="1"/>
  <c r="H449" i="1"/>
  <c r="I449" i="1"/>
  <c r="H448" i="1"/>
  <c r="I448" i="1"/>
  <c r="H447" i="1"/>
  <c r="I447" i="1"/>
  <c r="H446" i="1"/>
  <c r="I446" i="1"/>
  <c r="H445" i="1"/>
  <c r="I445" i="1"/>
  <c r="H444" i="1"/>
  <c r="I444" i="1"/>
  <c r="H443" i="1"/>
  <c r="I443" i="1"/>
  <c r="H442" i="1"/>
  <c r="I442" i="1"/>
  <c r="H441" i="1"/>
  <c r="I441" i="1"/>
  <c r="H440" i="1"/>
  <c r="I440" i="1"/>
  <c r="H439" i="1"/>
  <c r="I439" i="1"/>
  <c r="H438" i="1"/>
  <c r="I438" i="1"/>
  <c r="H437" i="1"/>
  <c r="I437" i="1"/>
  <c r="H436" i="1"/>
  <c r="I436" i="1"/>
  <c r="H435" i="1"/>
  <c r="I435" i="1"/>
  <c r="H434" i="1"/>
  <c r="I434" i="1"/>
  <c r="H433" i="1"/>
  <c r="I433" i="1"/>
  <c r="H432" i="1"/>
  <c r="I432" i="1"/>
  <c r="H431" i="1"/>
  <c r="I431" i="1"/>
  <c r="H430" i="1"/>
  <c r="I430" i="1"/>
  <c r="H429" i="1"/>
  <c r="I429" i="1"/>
  <c r="H428" i="1"/>
  <c r="I428" i="1"/>
  <c r="H427" i="1"/>
  <c r="I427" i="1"/>
  <c r="H426" i="1"/>
  <c r="I426" i="1"/>
  <c r="H425" i="1"/>
  <c r="I425" i="1"/>
  <c r="H424" i="1"/>
  <c r="I424" i="1"/>
  <c r="H423" i="1"/>
  <c r="I423" i="1"/>
  <c r="H422" i="1"/>
  <c r="I422" i="1"/>
  <c r="H421" i="1"/>
  <c r="I421" i="1"/>
  <c r="H420" i="1"/>
  <c r="I420" i="1"/>
  <c r="H419" i="1"/>
  <c r="I419" i="1"/>
  <c r="H418" i="1"/>
  <c r="I418" i="1"/>
  <c r="H417" i="1"/>
  <c r="I417" i="1"/>
  <c r="H416" i="1"/>
  <c r="I416" i="1"/>
  <c r="H415" i="1"/>
  <c r="I415" i="1"/>
  <c r="H414" i="1"/>
  <c r="I414" i="1"/>
  <c r="H413" i="1"/>
  <c r="I413" i="1"/>
  <c r="H412" i="1"/>
  <c r="I412" i="1"/>
  <c r="H411" i="1"/>
  <c r="I411" i="1"/>
  <c r="H410" i="1"/>
  <c r="I410" i="1"/>
  <c r="H409" i="1"/>
  <c r="I409" i="1"/>
  <c r="H408" i="1"/>
  <c r="I408" i="1"/>
  <c r="H407" i="1"/>
  <c r="I407" i="1"/>
  <c r="H406" i="1"/>
  <c r="I406" i="1"/>
  <c r="H405" i="1"/>
  <c r="I405" i="1"/>
  <c r="H404" i="1"/>
  <c r="I404" i="1"/>
  <c r="H403" i="1"/>
  <c r="I403" i="1"/>
  <c r="H402" i="1"/>
  <c r="I402" i="1"/>
  <c r="H401" i="1"/>
  <c r="I401" i="1"/>
  <c r="H400" i="1"/>
  <c r="I400" i="1"/>
  <c r="H399" i="1"/>
  <c r="I399" i="1"/>
  <c r="H398" i="1"/>
  <c r="I398" i="1"/>
  <c r="H397" i="1"/>
  <c r="I397" i="1"/>
  <c r="H396" i="1"/>
  <c r="I396" i="1"/>
  <c r="H395" i="1"/>
  <c r="I395" i="1"/>
  <c r="H394" i="1"/>
  <c r="I394" i="1"/>
  <c r="H393" i="1"/>
  <c r="I393" i="1"/>
  <c r="H392" i="1"/>
  <c r="I392" i="1"/>
  <c r="H391" i="1"/>
  <c r="I391" i="1"/>
  <c r="H390" i="1"/>
  <c r="I390" i="1"/>
  <c r="H389" i="1"/>
  <c r="I389" i="1"/>
  <c r="H388" i="1"/>
  <c r="I388" i="1"/>
  <c r="H387" i="1"/>
  <c r="I387" i="1"/>
  <c r="H386" i="1"/>
  <c r="I386" i="1"/>
  <c r="H385" i="1"/>
  <c r="I385" i="1"/>
  <c r="H384" i="1"/>
  <c r="I384" i="1"/>
  <c r="H383" i="1"/>
  <c r="I383" i="1"/>
  <c r="H382" i="1"/>
  <c r="I382" i="1"/>
  <c r="H381" i="1"/>
  <c r="I381" i="1"/>
  <c r="H380" i="1"/>
  <c r="I380" i="1"/>
  <c r="H379" i="1"/>
  <c r="I379" i="1"/>
  <c r="H378" i="1"/>
  <c r="I378" i="1"/>
  <c r="H377" i="1"/>
  <c r="I377" i="1"/>
  <c r="H376" i="1"/>
  <c r="I376" i="1"/>
  <c r="H375" i="1"/>
  <c r="I375" i="1"/>
  <c r="H374" i="1"/>
  <c r="I374" i="1"/>
  <c r="H373" i="1"/>
  <c r="I373" i="1"/>
  <c r="H372" i="1"/>
  <c r="I372" i="1"/>
  <c r="H371" i="1"/>
  <c r="I371" i="1"/>
  <c r="H370" i="1"/>
  <c r="I370" i="1"/>
  <c r="H369" i="1"/>
  <c r="I369" i="1"/>
  <c r="H368" i="1"/>
  <c r="I368" i="1"/>
  <c r="H367" i="1"/>
  <c r="I367" i="1"/>
  <c r="H366" i="1"/>
  <c r="I366" i="1"/>
  <c r="H365" i="1"/>
  <c r="I365" i="1"/>
  <c r="H364" i="1"/>
  <c r="I364" i="1"/>
  <c r="H363" i="1"/>
  <c r="I363" i="1"/>
  <c r="H362" i="1"/>
  <c r="I362" i="1"/>
  <c r="H361" i="1"/>
  <c r="I361" i="1"/>
  <c r="H360" i="1"/>
  <c r="I360" i="1"/>
  <c r="H359" i="1"/>
  <c r="I359" i="1"/>
  <c r="H358" i="1"/>
  <c r="I358" i="1"/>
  <c r="H357" i="1"/>
  <c r="I357" i="1"/>
  <c r="H356" i="1"/>
  <c r="I356" i="1"/>
  <c r="H355" i="1"/>
  <c r="I355" i="1"/>
  <c r="H354" i="1"/>
  <c r="I354" i="1"/>
  <c r="H353" i="1"/>
  <c r="I353" i="1"/>
  <c r="H352" i="1"/>
  <c r="I352" i="1"/>
  <c r="H351" i="1"/>
  <c r="I351" i="1"/>
  <c r="H350" i="1"/>
  <c r="I350" i="1"/>
  <c r="H349" i="1"/>
  <c r="I349" i="1"/>
  <c r="H348" i="1"/>
  <c r="I348" i="1"/>
  <c r="H347" i="1"/>
  <c r="I347" i="1"/>
  <c r="H346" i="1"/>
  <c r="I346" i="1"/>
  <c r="H345" i="1"/>
  <c r="I345" i="1"/>
  <c r="H344" i="1"/>
  <c r="I344" i="1"/>
  <c r="H343" i="1"/>
  <c r="I343" i="1"/>
  <c r="H342" i="1"/>
  <c r="I342" i="1"/>
  <c r="H341" i="1"/>
  <c r="I341" i="1"/>
  <c r="H340" i="1"/>
  <c r="I340" i="1"/>
  <c r="H339" i="1"/>
  <c r="I339" i="1"/>
  <c r="H338" i="1"/>
  <c r="I338" i="1"/>
  <c r="H337" i="1"/>
  <c r="I337" i="1"/>
  <c r="H336" i="1"/>
  <c r="I336" i="1"/>
  <c r="H335" i="1"/>
  <c r="I335" i="1"/>
  <c r="H334" i="1"/>
  <c r="I334" i="1"/>
  <c r="H333" i="1"/>
  <c r="I333" i="1"/>
  <c r="H332" i="1"/>
  <c r="I332" i="1"/>
  <c r="H331" i="1"/>
  <c r="I331" i="1"/>
  <c r="H330" i="1"/>
  <c r="I330" i="1"/>
  <c r="H329" i="1"/>
  <c r="I329" i="1"/>
  <c r="H328" i="1"/>
  <c r="I328" i="1"/>
  <c r="H327" i="1"/>
  <c r="I327" i="1"/>
  <c r="H326" i="1"/>
  <c r="I326" i="1"/>
  <c r="H325" i="1"/>
  <c r="I325" i="1"/>
  <c r="H324" i="1"/>
  <c r="I324" i="1"/>
  <c r="H323" i="1"/>
  <c r="I323" i="1"/>
  <c r="H322" i="1"/>
  <c r="I322" i="1"/>
  <c r="H321" i="1"/>
  <c r="I321" i="1"/>
  <c r="H320" i="1"/>
  <c r="I320" i="1"/>
  <c r="H319" i="1"/>
  <c r="I319" i="1"/>
  <c r="H318" i="1"/>
  <c r="I318" i="1"/>
  <c r="H317" i="1"/>
  <c r="I317" i="1"/>
  <c r="H316" i="1"/>
  <c r="I316" i="1"/>
  <c r="H315" i="1"/>
  <c r="I315" i="1"/>
  <c r="H314" i="1"/>
  <c r="I314" i="1"/>
  <c r="H313" i="1"/>
  <c r="I313" i="1"/>
  <c r="H312" i="1"/>
  <c r="I312" i="1"/>
  <c r="H311" i="1"/>
  <c r="I311" i="1"/>
  <c r="H310" i="1"/>
  <c r="I310" i="1"/>
  <c r="H309" i="1"/>
  <c r="I309" i="1"/>
  <c r="H308" i="1"/>
  <c r="I308" i="1"/>
  <c r="H307" i="1"/>
  <c r="I307" i="1"/>
  <c r="H306" i="1"/>
  <c r="I306" i="1"/>
  <c r="H305" i="1"/>
  <c r="I305" i="1"/>
  <c r="H304" i="1"/>
  <c r="I304" i="1"/>
  <c r="H303" i="1"/>
  <c r="I303" i="1"/>
  <c r="H302" i="1"/>
  <c r="I302" i="1"/>
  <c r="H301" i="1"/>
  <c r="I301" i="1"/>
  <c r="H300" i="1"/>
  <c r="I300" i="1"/>
  <c r="H299" i="1"/>
  <c r="I299" i="1"/>
  <c r="H298" i="1"/>
  <c r="I298" i="1"/>
  <c r="H297" i="1"/>
  <c r="I297" i="1"/>
  <c r="H296" i="1"/>
  <c r="I296" i="1"/>
  <c r="H295" i="1"/>
  <c r="I295" i="1"/>
  <c r="H294" i="1"/>
  <c r="I294" i="1"/>
  <c r="H293" i="1"/>
  <c r="I293" i="1"/>
  <c r="H292" i="1"/>
  <c r="I292" i="1"/>
  <c r="H291" i="1"/>
  <c r="I291" i="1"/>
  <c r="H290" i="1"/>
  <c r="I290" i="1"/>
  <c r="H289" i="1"/>
  <c r="I289" i="1"/>
  <c r="H288" i="1"/>
  <c r="I288" i="1"/>
  <c r="H287" i="1"/>
  <c r="I287" i="1"/>
  <c r="H286" i="1"/>
  <c r="I286" i="1"/>
  <c r="H285" i="1"/>
  <c r="I285" i="1"/>
  <c r="H284" i="1"/>
  <c r="I284" i="1"/>
  <c r="H283" i="1"/>
  <c r="I283" i="1"/>
  <c r="H282" i="1"/>
  <c r="I282" i="1"/>
  <c r="H281" i="1"/>
  <c r="I281" i="1"/>
  <c r="H280" i="1"/>
  <c r="I280" i="1"/>
  <c r="H279" i="1"/>
  <c r="I279" i="1"/>
  <c r="H278" i="1"/>
  <c r="I278" i="1"/>
  <c r="H277" i="1"/>
  <c r="I277" i="1"/>
  <c r="H276" i="1"/>
  <c r="I276" i="1"/>
  <c r="H275" i="1"/>
  <c r="I275" i="1"/>
  <c r="H274" i="1"/>
  <c r="I274" i="1"/>
  <c r="H273" i="1"/>
  <c r="I273" i="1"/>
  <c r="H272" i="1"/>
  <c r="I272" i="1"/>
  <c r="H271" i="1"/>
  <c r="I271" i="1"/>
  <c r="H270" i="1"/>
  <c r="I270" i="1"/>
  <c r="H269" i="1"/>
  <c r="I269" i="1"/>
  <c r="H268" i="1"/>
  <c r="I268" i="1"/>
  <c r="H267" i="1"/>
  <c r="I267" i="1"/>
  <c r="H266" i="1"/>
  <c r="I266" i="1"/>
  <c r="H265" i="1"/>
  <c r="I265" i="1"/>
  <c r="H264" i="1"/>
  <c r="I264" i="1"/>
  <c r="H263" i="1"/>
  <c r="I263" i="1"/>
  <c r="H262" i="1"/>
  <c r="I262" i="1"/>
  <c r="H261" i="1"/>
  <c r="I261" i="1"/>
  <c r="H260" i="1"/>
  <c r="I260" i="1"/>
  <c r="H259" i="1"/>
  <c r="I259" i="1"/>
  <c r="H258" i="1"/>
  <c r="I258" i="1"/>
  <c r="H257" i="1"/>
  <c r="I257" i="1"/>
  <c r="H256" i="1"/>
  <c r="I256" i="1"/>
  <c r="H255" i="1"/>
  <c r="I255" i="1"/>
  <c r="H254" i="1"/>
  <c r="I254" i="1"/>
  <c r="H253" i="1"/>
  <c r="I253" i="1"/>
  <c r="H252" i="1"/>
  <c r="I252" i="1"/>
  <c r="H251" i="1"/>
  <c r="I251" i="1"/>
  <c r="H250" i="1"/>
  <c r="I250" i="1"/>
  <c r="H249" i="1"/>
  <c r="I249" i="1"/>
  <c r="H248" i="1"/>
  <c r="I248" i="1"/>
  <c r="H247" i="1"/>
  <c r="I247" i="1"/>
  <c r="H246" i="1"/>
  <c r="I246" i="1"/>
  <c r="H245" i="1"/>
  <c r="I245" i="1"/>
  <c r="H244" i="1"/>
  <c r="I244" i="1"/>
  <c r="H243" i="1"/>
  <c r="I243" i="1"/>
  <c r="H242" i="1"/>
  <c r="I242" i="1"/>
  <c r="H241" i="1"/>
  <c r="I241" i="1"/>
  <c r="H240" i="1"/>
  <c r="I240" i="1"/>
  <c r="H239" i="1"/>
  <c r="I239" i="1"/>
  <c r="H238" i="1"/>
  <c r="I238" i="1"/>
  <c r="H237" i="1"/>
  <c r="I237" i="1"/>
  <c r="H236" i="1"/>
  <c r="I236" i="1"/>
  <c r="H235" i="1"/>
  <c r="I235" i="1"/>
  <c r="H234" i="1"/>
  <c r="I234" i="1"/>
  <c r="H233" i="1"/>
  <c r="I233" i="1"/>
  <c r="H232" i="1"/>
  <c r="I232" i="1"/>
  <c r="H231" i="1"/>
  <c r="I231" i="1"/>
  <c r="H230" i="1"/>
  <c r="I230" i="1"/>
  <c r="H229" i="1"/>
  <c r="I229" i="1"/>
  <c r="H228" i="1"/>
  <c r="I228" i="1"/>
  <c r="H227" i="1"/>
  <c r="I227" i="1"/>
  <c r="H226" i="1"/>
  <c r="I226" i="1"/>
  <c r="H225" i="1"/>
  <c r="I225" i="1"/>
  <c r="H224" i="1"/>
  <c r="I224" i="1"/>
  <c r="H223" i="1"/>
  <c r="I223" i="1"/>
  <c r="H222" i="1"/>
  <c r="I222" i="1"/>
  <c r="H221" i="1"/>
  <c r="I221" i="1"/>
  <c r="H220" i="1"/>
  <c r="I220" i="1"/>
  <c r="H219" i="1"/>
  <c r="I219" i="1"/>
  <c r="H218" i="1"/>
  <c r="I218" i="1"/>
  <c r="H217" i="1"/>
  <c r="I217" i="1"/>
  <c r="H216" i="1"/>
  <c r="I216" i="1"/>
  <c r="H215" i="1"/>
  <c r="I215" i="1"/>
  <c r="H214" i="1"/>
  <c r="I214" i="1"/>
  <c r="H213" i="1"/>
  <c r="I213" i="1"/>
  <c r="H212" i="1"/>
  <c r="I212" i="1"/>
  <c r="H211" i="1"/>
  <c r="I211" i="1"/>
  <c r="H210" i="1"/>
  <c r="I210" i="1"/>
  <c r="H209" i="1"/>
  <c r="I209" i="1"/>
  <c r="H208" i="1"/>
  <c r="I208" i="1"/>
  <c r="H207" i="1"/>
  <c r="I207" i="1"/>
  <c r="H206" i="1"/>
  <c r="I206" i="1"/>
  <c r="H205" i="1"/>
  <c r="I205" i="1"/>
  <c r="H204" i="1"/>
  <c r="I204" i="1"/>
  <c r="H203" i="1"/>
  <c r="I203" i="1"/>
  <c r="H202" i="1"/>
  <c r="I202" i="1"/>
  <c r="H201" i="1"/>
  <c r="I201" i="1"/>
  <c r="H200" i="1"/>
  <c r="I200" i="1"/>
  <c r="H199" i="1"/>
  <c r="I199" i="1"/>
  <c r="H198" i="1"/>
  <c r="I198" i="1"/>
  <c r="H197" i="1"/>
  <c r="I197" i="1"/>
  <c r="H196" i="1"/>
  <c r="I196" i="1"/>
  <c r="H195" i="1"/>
  <c r="I195" i="1"/>
  <c r="H194" i="1"/>
  <c r="I194" i="1"/>
  <c r="H193" i="1"/>
  <c r="I193" i="1"/>
  <c r="H192" i="1"/>
  <c r="I192" i="1"/>
  <c r="H191" i="1"/>
  <c r="I191" i="1"/>
  <c r="H190" i="1"/>
  <c r="I190" i="1"/>
  <c r="H189" i="1"/>
  <c r="I189" i="1"/>
  <c r="H188" i="1"/>
  <c r="I188" i="1"/>
  <c r="H187" i="1"/>
  <c r="I187" i="1"/>
  <c r="H186" i="1"/>
  <c r="I186" i="1"/>
  <c r="H185" i="1"/>
  <c r="I185" i="1"/>
  <c r="H184" i="1"/>
  <c r="I184" i="1"/>
  <c r="H183" i="1"/>
  <c r="I183" i="1"/>
  <c r="H182" i="1"/>
  <c r="I182" i="1"/>
  <c r="H181" i="1"/>
  <c r="I181" i="1"/>
  <c r="H180" i="1"/>
  <c r="I180" i="1"/>
  <c r="H179" i="1"/>
  <c r="I179" i="1"/>
  <c r="H178" i="1"/>
  <c r="I178" i="1"/>
  <c r="H177" i="1"/>
  <c r="I177" i="1"/>
  <c r="H176" i="1"/>
  <c r="I176" i="1"/>
  <c r="H175" i="1"/>
  <c r="I175" i="1"/>
  <c r="H174" i="1"/>
  <c r="I174" i="1"/>
  <c r="H173" i="1"/>
  <c r="I173" i="1"/>
  <c r="H172" i="1"/>
  <c r="I172" i="1"/>
  <c r="H171" i="1"/>
  <c r="I171" i="1"/>
  <c r="H170" i="1"/>
  <c r="I170" i="1"/>
  <c r="H169" i="1"/>
  <c r="I169" i="1"/>
  <c r="H168" i="1"/>
  <c r="I168" i="1"/>
  <c r="H167" i="1"/>
  <c r="I167" i="1"/>
  <c r="H166" i="1"/>
  <c r="I166" i="1"/>
  <c r="H165" i="1"/>
  <c r="I165" i="1"/>
  <c r="H164" i="1"/>
  <c r="I164" i="1"/>
  <c r="H163" i="1"/>
  <c r="I163" i="1"/>
  <c r="H162" i="1"/>
  <c r="I162" i="1"/>
  <c r="H161" i="1"/>
  <c r="I161" i="1"/>
  <c r="H160" i="1"/>
  <c r="I160" i="1"/>
  <c r="H159" i="1"/>
  <c r="I159" i="1"/>
  <c r="H158" i="1"/>
  <c r="I158" i="1"/>
  <c r="H157" i="1"/>
  <c r="I157" i="1"/>
  <c r="H156" i="1"/>
  <c r="I156" i="1"/>
  <c r="H155" i="1"/>
  <c r="I155" i="1"/>
  <c r="H154" i="1"/>
  <c r="I154" i="1"/>
  <c r="H153" i="1"/>
  <c r="I153" i="1"/>
  <c r="H152" i="1"/>
  <c r="I152" i="1"/>
  <c r="H151" i="1"/>
  <c r="I151" i="1"/>
  <c r="H150" i="1"/>
  <c r="I150" i="1"/>
  <c r="H149" i="1"/>
  <c r="I149" i="1"/>
  <c r="H148" i="1"/>
  <c r="I148" i="1"/>
  <c r="H147" i="1"/>
  <c r="I147" i="1"/>
  <c r="H146" i="1"/>
  <c r="I146" i="1"/>
  <c r="H145" i="1"/>
  <c r="I145" i="1"/>
  <c r="H144" i="1"/>
  <c r="I144" i="1"/>
  <c r="H143" i="1"/>
  <c r="I143" i="1"/>
  <c r="H142" i="1"/>
  <c r="I142" i="1"/>
  <c r="H141" i="1"/>
  <c r="I141" i="1"/>
  <c r="H140" i="1"/>
  <c r="I140" i="1"/>
  <c r="H139" i="1"/>
  <c r="I139" i="1"/>
  <c r="H138" i="1"/>
  <c r="I138" i="1"/>
  <c r="H137" i="1"/>
  <c r="I137" i="1"/>
  <c r="H136" i="1"/>
  <c r="I136" i="1"/>
  <c r="H135" i="1"/>
  <c r="I135" i="1"/>
  <c r="H134" i="1"/>
  <c r="I134" i="1"/>
  <c r="H133" i="1"/>
  <c r="I133" i="1"/>
  <c r="H132" i="1"/>
  <c r="I132" i="1"/>
  <c r="H131" i="1"/>
  <c r="I131" i="1"/>
  <c r="H130" i="1"/>
  <c r="I130" i="1"/>
  <c r="H129" i="1"/>
  <c r="I129" i="1"/>
  <c r="H128" i="1"/>
  <c r="I128" i="1"/>
  <c r="H127" i="1"/>
  <c r="I127" i="1"/>
  <c r="H126" i="1"/>
  <c r="I126" i="1"/>
  <c r="H125" i="1"/>
  <c r="I125" i="1"/>
  <c r="H124" i="1"/>
  <c r="I124" i="1"/>
  <c r="H123" i="1"/>
  <c r="I123" i="1"/>
  <c r="H122" i="1"/>
  <c r="I122" i="1"/>
  <c r="H121" i="1"/>
  <c r="I121" i="1"/>
  <c r="H120" i="1"/>
  <c r="I120" i="1"/>
  <c r="H119" i="1"/>
  <c r="I119" i="1"/>
  <c r="H118" i="1"/>
  <c r="I118" i="1"/>
  <c r="H117" i="1"/>
  <c r="I117" i="1"/>
  <c r="H116" i="1"/>
  <c r="I116" i="1"/>
  <c r="H115" i="1"/>
  <c r="I115" i="1"/>
  <c r="H114" i="1"/>
  <c r="I114" i="1"/>
  <c r="H113" i="1"/>
  <c r="I113" i="1"/>
  <c r="H112" i="1"/>
  <c r="I112" i="1"/>
  <c r="H111" i="1"/>
  <c r="I111" i="1"/>
  <c r="H110" i="1"/>
  <c r="I110" i="1"/>
  <c r="H109" i="1"/>
  <c r="I109" i="1"/>
  <c r="H108" i="1"/>
  <c r="I108" i="1"/>
  <c r="H107" i="1"/>
  <c r="I107" i="1"/>
  <c r="H106" i="1"/>
  <c r="I106" i="1"/>
  <c r="H105" i="1"/>
  <c r="I105" i="1"/>
  <c r="H104" i="1"/>
  <c r="I104" i="1"/>
  <c r="H103" i="1"/>
  <c r="I103" i="1"/>
  <c r="H102" i="1"/>
  <c r="I102" i="1"/>
  <c r="H101" i="1"/>
  <c r="I101" i="1"/>
  <c r="H100" i="1"/>
  <c r="I100" i="1"/>
  <c r="H99" i="1"/>
  <c r="I99" i="1"/>
  <c r="H98" i="1"/>
  <c r="I98" i="1"/>
  <c r="H97" i="1"/>
  <c r="I97" i="1"/>
  <c r="H96" i="1"/>
  <c r="I96" i="1"/>
  <c r="H95" i="1"/>
  <c r="I95" i="1"/>
  <c r="H94" i="1"/>
  <c r="I94" i="1"/>
  <c r="H93" i="1"/>
  <c r="I93" i="1"/>
  <c r="H92" i="1"/>
  <c r="I92" i="1"/>
  <c r="H91" i="1"/>
  <c r="I91" i="1"/>
  <c r="H90" i="1"/>
  <c r="I90" i="1"/>
  <c r="H89" i="1"/>
  <c r="I89" i="1"/>
  <c r="H88" i="1"/>
  <c r="I88" i="1"/>
  <c r="H87" i="1"/>
  <c r="I87" i="1"/>
  <c r="H86" i="1"/>
  <c r="I86" i="1"/>
  <c r="H85" i="1"/>
  <c r="I85" i="1"/>
  <c r="H84" i="1"/>
  <c r="I84" i="1"/>
  <c r="H83" i="1"/>
  <c r="I83" i="1"/>
  <c r="H82" i="1"/>
  <c r="I82" i="1"/>
  <c r="H81" i="1"/>
  <c r="I81" i="1"/>
  <c r="H80" i="1"/>
  <c r="I80" i="1"/>
  <c r="H79" i="1"/>
  <c r="I79" i="1"/>
  <c r="H78" i="1"/>
  <c r="I78" i="1"/>
  <c r="H77" i="1"/>
  <c r="I77" i="1"/>
  <c r="H76" i="1"/>
  <c r="I76" i="1"/>
  <c r="H75" i="1"/>
  <c r="I75" i="1"/>
  <c r="H74" i="1"/>
  <c r="I74" i="1"/>
  <c r="H73" i="1"/>
  <c r="I73" i="1"/>
  <c r="H72" i="1"/>
  <c r="I72" i="1"/>
  <c r="H71" i="1"/>
  <c r="I71" i="1"/>
  <c r="H70" i="1"/>
  <c r="I70" i="1"/>
  <c r="H69" i="1"/>
  <c r="I69" i="1"/>
  <c r="H68" i="1"/>
  <c r="I68" i="1"/>
  <c r="H67" i="1"/>
  <c r="I67" i="1"/>
  <c r="H66" i="1"/>
  <c r="I66" i="1"/>
  <c r="H65" i="1"/>
  <c r="I65" i="1"/>
  <c r="H64" i="1"/>
  <c r="I64" i="1"/>
  <c r="H63" i="1"/>
  <c r="I63" i="1"/>
  <c r="H62" i="1"/>
  <c r="I62" i="1"/>
  <c r="H61" i="1"/>
  <c r="I61" i="1"/>
  <c r="H60" i="1"/>
  <c r="I60" i="1"/>
  <c r="H59" i="1"/>
  <c r="I59" i="1"/>
  <c r="H58" i="1"/>
  <c r="I58" i="1"/>
  <c r="H57" i="1"/>
  <c r="I57" i="1"/>
  <c r="H56" i="1"/>
  <c r="I56" i="1"/>
  <c r="H55" i="1"/>
  <c r="I55" i="1"/>
  <c r="H54" i="1"/>
  <c r="I54" i="1"/>
  <c r="H53" i="1"/>
  <c r="I53" i="1"/>
  <c r="H52" i="1"/>
  <c r="I52" i="1"/>
  <c r="H51" i="1"/>
  <c r="I51" i="1"/>
  <c r="H50" i="1"/>
  <c r="I50" i="1"/>
  <c r="H49" i="1"/>
  <c r="I49" i="1"/>
  <c r="H48" i="1"/>
  <c r="I48" i="1"/>
  <c r="H47" i="1"/>
  <c r="I47" i="1"/>
  <c r="H46" i="1"/>
  <c r="I46" i="1"/>
  <c r="H45" i="1"/>
  <c r="I45" i="1"/>
  <c r="H44" i="1"/>
  <c r="I44" i="1"/>
  <c r="H43" i="1"/>
  <c r="I43" i="1"/>
  <c r="H42" i="1"/>
  <c r="I42" i="1"/>
  <c r="H41" i="1"/>
  <c r="I41" i="1"/>
  <c r="H40" i="1"/>
  <c r="I40" i="1"/>
  <c r="H39" i="1"/>
  <c r="I39" i="1"/>
  <c r="H38" i="1"/>
  <c r="I38" i="1"/>
  <c r="H37" i="1"/>
  <c r="I37" i="1"/>
  <c r="H36" i="1"/>
  <c r="I36" i="1"/>
  <c r="H35" i="1"/>
  <c r="I35" i="1"/>
  <c r="H34" i="1"/>
  <c r="I34" i="1"/>
  <c r="H33" i="1"/>
  <c r="I33" i="1"/>
  <c r="H32" i="1"/>
  <c r="I32" i="1"/>
  <c r="H31" i="1"/>
  <c r="I31" i="1"/>
  <c r="H30" i="1"/>
  <c r="I30" i="1"/>
  <c r="H29" i="1"/>
  <c r="I29" i="1"/>
  <c r="H28" i="1"/>
  <c r="I28" i="1"/>
  <c r="H27" i="1"/>
  <c r="I27" i="1"/>
  <c r="H26" i="1"/>
  <c r="I26" i="1"/>
  <c r="H25" i="1"/>
  <c r="I25" i="1"/>
  <c r="H24" i="1"/>
  <c r="I24" i="1"/>
  <c r="H23" i="1"/>
  <c r="I23" i="1"/>
  <c r="H22" i="1"/>
  <c r="I22" i="1"/>
  <c r="H21" i="1"/>
  <c r="I21" i="1"/>
  <c r="H20" i="1"/>
  <c r="I20" i="1"/>
  <c r="H19" i="1"/>
  <c r="I19" i="1"/>
  <c r="H18" i="1"/>
  <c r="I18" i="1"/>
  <c r="H17" i="1"/>
  <c r="I17" i="1"/>
  <c r="H16" i="1"/>
  <c r="I16" i="1"/>
  <c r="H15" i="1"/>
  <c r="I15" i="1"/>
  <c r="H14" i="1"/>
  <c r="I14" i="1"/>
  <c r="H13" i="1"/>
  <c r="I13" i="1"/>
  <c r="H12" i="1"/>
  <c r="I12" i="1"/>
  <c r="H11" i="1"/>
  <c r="I11" i="1"/>
  <c r="H10" i="1"/>
  <c r="I10" i="1"/>
  <c r="H9" i="1"/>
  <c r="I9" i="1"/>
  <c r="H8" i="1"/>
  <c r="I8" i="1"/>
  <c r="H7" i="1"/>
  <c r="I7" i="1"/>
  <c r="H6" i="1"/>
  <c r="I6" i="1"/>
  <c r="D2" i="6"/>
  <c r="D3" i="6"/>
  <c r="D4" i="6"/>
  <c r="D5" i="6"/>
  <c r="D10" i="6"/>
  <c r="D9" i="6"/>
  <c r="D8" i="6"/>
  <c r="D7" i="6"/>
  <c r="D6" i="6"/>
  <c r="D12" i="6"/>
  <c r="C2" i="6"/>
  <c r="C3" i="6"/>
  <c r="C4" i="6"/>
  <c r="C5" i="6"/>
  <c r="C10" i="6"/>
  <c r="C9" i="6"/>
  <c r="C8" i="6"/>
  <c r="C7" i="6"/>
  <c r="C6" i="6"/>
  <c r="C12" i="6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17" i="1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25" i="1"/>
  <c r="F67" i="3"/>
  <c r="E67" i="3"/>
  <c r="F66" i="3"/>
  <c r="E66" i="3"/>
  <c r="F23" i="1"/>
  <c r="F15" i="1"/>
  <c r="F65" i="3"/>
  <c r="E65" i="3"/>
  <c r="F13" i="1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26" i="1"/>
  <c r="F57" i="3"/>
  <c r="E57" i="3"/>
  <c r="F8" i="1"/>
  <c r="F3" i="1"/>
  <c r="F20" i="1"/>
  <c r="F10" i="1"/>
  <c r="F56" i="3"/>
  <c r="E56" i="3"/>
  <c r="F7" i="1"/>
  <c r="F18" i="1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6" i="1"/>
  <c r="F33" i="3"/>
  <c r="E33" i="3"/>
  <c r="F32" i="3"/>
  <c r="E32" i="3"/>
  <c r="F31" i="3"/>
  <c r="E31" i="3"/>
  <c r="F30" i="3"/>
  <c r="E30" i="3"/>
  <c r="F9" i="1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4" i="1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D11" i="3"/>
  <c r="F11" i="3"/>
  <c r="E11" i="3"/>
  <c r="D10" i="3"/>
  <c r="F10" i="3"/>
  <c r="E10" i="3"/>
  <c r="D9" i="3"/>
  <c r="F9" i="3"/>
  <c r="E9" i="3"/>
  <c r="D8" i="3"/>
  <c r="F8" i="3"/>
  <c r="E8" i="3"/>
  <c r="B8" i="3"/>
  <c r="D7" i="3"/>
  <c r="F7" i="3"/>
  <c r="E7" i="3"/>
  <c r="C28" i="1"/>
  <c r="C29" i="1"/>
  <c r="C30" i="1"/>
  <c r="C3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16" i="1"/>
  <c r="F14" i="1"/>
  <c r="F12" i="1"/>
  <c r="F11" i="1"/>
  <c r="F24" i="1"/>
  <c r="F22" i="1"/>
  <c r="F21" i="1"/>
  <c r="F19" i="1"/>
  <c r="F27" i="1"/>
  <c r="F5" i="1"/>
  <c r="F2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B7" i="3"/>
  <c r="D6" i="3"/>
  <c r="F6" i="3"/>
  <c r="E6" i="3"/>
  <c r="B6" i="3"/>
  <c r="D5" i="3"/>
  <c r="F5" i="3"/>
  <c r="E5" i="3"/>
  <c r="B5" i="3"/>
  <c r="D4" i="3"/>
  <c r="F4" i="3"/>
  <c r="E4" i="3"/>
  <c r="B4" i="3"/>
  <c r="D3" i="3"/>
  <c r="F3" i="3"/>
  <c r="E3" i="3"/>
  <c r="B3" i="3"/>
  <c r="B2" i="3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K1" i="1"/>
</calcChain>
</file>

<file path=xl/sharedStrings.xml><?xml version="1.0" encoding="utf-8"?>
<sst xmlns="http://schemas.openxmlformats.org/spreadsheetml/2006/main" count="404" uniqueCount="149">
  <si>
    <t>Date</t>
  </si>
  <si>
    <t>Model</t>
  </si>
  <si>
    <t>Type</t>
  </si>
  <si>
    <t>Qty</t>
  </si>
  <si>
    <t>Commission Each (£)</t>
  </si>
  <si>
    <t>Total Commission (£)</t>
  </si>
  <si>
    <t>Notes</t>
  </si>
  <si>
    <t>Week</t>
  </si>
  <si>
    <t>Pay Day</t>
  </si>
  <si>
    <t>TOTAL COMMISSION</t>
  </si>
  <si>
    <t>100E7STUK PRO</t>
  </si>
  <si>
    <t>TV</t>
  </si>
  <si>
    <t>HT SATURN</t>
  </si>
  <si>
    <t>Soundbar</t>
  </si>
  <si>
    <t>43E7Q</t>
  </si>
  <si>
    <t>55UR8STUK</t>
  </si>
  <si>
    <t>65Q7STUK</t>
  </si>
  <si>
    <t>50U7STUK</t>
  </si>
  <si>
    <t>50E7Q</t>
  </si>
  <si>
    <t>75UR8S</t>
  </si>
  <si>
    <t>43A6Q</t>
  </si>
  <si>
    <t>No rate on previous commission sheet</t>
  </si>
  <si>
    <t>50U7S</t>
  </si>
  <si>
    <t>55UR8S</t>
  </si>
  <si>
    <t>65E7Q PRO</t>
  </si>
  <si>
    <t>65UR9S</t>
  </si>
  <si>
    <t>85E7Q PRO</t>
  </si>
  <si>
    <t>100U7Q PRO</t>
  </si>
  <si>
    <t>50U7Q</t>
  </si>
  <si>
    <t>55A6Q</t>
  </si>
  <si>
    <t>55E7Q PRO</t>
  </si>
  <si>
    <t>Commission (£)</t>
  </si>
  <si>
    <t>100UR8STUK</t>
  </si>
  <si>
    <t>85UR8STUK</t>
  </si>
  <si>
    <t>75UR8STUK</t>
  </si>
  <si>
    <t>65UR8STUK</t>
  </si>
  <si>
    <t>65UR9STUK</t>
  </si>
  <si>
    <t>75UR9STUK</t>
  </si>
  <si>
    <t>85UR9STUK</t>
  </si>
  <si>
    <t>116UXTUK</t>
  </si>
  <si>
    <t>110UXNTUK</t>
  </si>
  <si>
    <t>100UXTUK</t>
  </si>
  <si>
    <t>55U7STUK PRO</t>
  </si>
  <si>
    <t>65U7STUK PRO</t>
  </si>
  <si>
    <t>75U7STUK PRO</t>
  </si>
  <si>
    <t>85U7STUK PRO</t>
  </si>
  <si>
    <t>100U7STUK PRO</t>
  </si>
  <si>
    <t>55U7STUK</t>
  </si>
  <si>
    <t>65U7STUK</t>
  </si>
  <si>
    <t>75U7STUK</t>
  </si>
  <si>
    <t>85U7STUK</t>
  </si>
  <si>
    <t>100U7STUK</t>
  </si>
  <si>
    <t>55S7STUK</t>
  </si>
  <si>
    <t>65S7STUK</t>
  </si>
  <si>
    <t>85Q7STUK</t>
  </si>
  <si>
    <t>75Q7STUK</t>
  </si>
  <si>
    <t>55Q7STUK</t>
  </si>
  <si>
    <t>50Q7STUK</t>
  </si>
  <si>
    <t>43Q7STUK</t>
  </si>
  <si>
    <t>85E7STUK PRO</t>
  </si>
  <si>
    <t>75E7STUK PRO</t>
  </si>
  <si>
    <t>65E7STUK PRO</t>
  </si>
  <si>
    <t>55E7STUK PRO</t>
  </si>
  <si>
    <t>50E7STUK PRO</t>
  </si>
  <si>
    <t>43E7STUK PRO</t>
  </si>
  <si>
    <t>C2TUK</t>
  </si>
  <si>
    <t>M2TUK PRO</t>
  </si>
  <si>
    <t>PX3TUK</t>
  </si>
  <si>
    <t>PL2TUK</t>
  </si>
  <si>
    <t>C2TUK-ULTRA</t>
  </si>
  <si>
    <t>HS214</t>
  </si>
  <si>
    <t>HS2000</t>
  </si>
  <si>
    <t>HS2100</t>
  </si>
  <si>
    <t>HS3100</t>
  </si>
  <si>
    <t>AX3120Q</t>
  </si>
  <si>
    <t>AX5125H</t>
  </si>
  <si>
    <t>AX5100Q</t>
  </si>
  <si>
    <t>AX5140Q</t>
  </si>
  <si>
    <t>S5120GQ</t>
  </si>
  <si>
    <t>S5120Q</t>
  </si>
  <si>
    <t>55E7Q</t>
  </si>
  <si>
    <t>65E7Q</t>
  </si>
  <si>
    <t>75E7Q</t>
  </si>
  <si>
    <t>85E7Q</t>
  </si>
  <si>
    <t>43E7Q PRO</t>
  </si>
  <si>
    <t>50E7Q PRO</t>
  </si>
  <si>
    <t>75E7Q PRO</t>
  </si>
  <si>
    <t>100E7Q PRO</t>
  </si>
  <si>
    <t>50U7QTUK</t>
  </si>
  <si>
    <t>55U7QTUK</t>
  </si>
  <si>
    <t>65U7QTUK</t>
  </si>
  <si>
    <t>75U7QTUK</t>
  </si>
  <si>
    <t>85U7QTUK</t>
  </si>
  <si>
    <t>100U7QTUK</t>
  </si>
  <si>
    <t>55U7Q PRO</t>
  </si>
  <si>
    <t>65U7Q PRO</t>
  </si>
  <si>
    <t>75U7Q PRO</t>
  </si>
  <si>
    <t>85U7Q PRO</t>
  </si>
  <si>
    <t>55A85Q</t>
  </si>
  <si>
    <t>65A85Q</t>
  </si>
  <si>
    <t>55" Canvas</t>
  </si>
  <si>
    <t>65" Canvas</t>
  </si>
  <si>
    <t>55U8Q</t>
  </si>
  <si>
    <t>65U8Q</t>
  </si>
  <si>
    <t>75U8Q</t>
  </si>
  <si>
    <t>85U8Q</t>
  </si>
  <si>
    <t>100U8Q</t>
  </si>
  <si>
    <t>Everything entered in Sales Log</t>
  </si>
  <si>
    <t>Total commission</t>
  </si>
  <si>
    <t>Commission breakdown</t>
  </si>
  <si>
    <t>TV commission</t>
  </si>
  <si>
    <t>Soundbar commission</t>
  </si>
  <si>
    <t>Total units sold</t>
  </si>
  <si>
    <t>How to use</t>
  </si>
  <si>
    <t>1. Go to Sales Log.</t>
  </si>
  <si>
    <t>2. Enter the date and choose the model from the dropdown.</t>
  </si>
  <si>
    <t>3. Enter quantity. Commission calculates automatically.</t>
  </si>
  <si>
    <t>4. Dashboard totals update automatically.</t>
  </si>
  <si>
    <t>Effective from</t>
  </si>
  <si>
    <t>Description</t>
  </si>
  <si>
    <t>13/09/2026 (WK38)</t>
  </si>
  <si>
    <t>Updated commission rates from supplied screenshots; retained original product data.</t>
  </si>
  <si>
    <t>25/05/2026</t>
  </si>
  <si>
    <t>25/06/2026</t>
  </si>
  <si>
    <t>24/07/2026</t>
  </si>
  <si>
    <t>25/08/2026</t>
  </si>
  <si>
    <t>25/09/2026</t>
  </si>
  <si>
    <t>23/10/2026</t>
  </si>
  <si>
    <t>25/11/2026</t>
  </si>
  <si>
    <t>TBC</t>
  </si>
  <si>
    <t>25/01/2027</t>
  </si>
  <si>
    <t>Weeks Paid For</t>
  </si>
  <si>
    <t>Sales Units</t>
  </si>
  <si>
    <t>16 | 17</t>
  </si>
  <si>
    <t>18 | 19 | 20 | 21 | 22</t>
  </si>
  <si>
    <t>23 | 24 | 25 | 26</t>
  </si>
  <si>
    <t>27 | 28 | 29 | 30 | 31</t>
  </si>
  <si>
    <t>32 | 33 | 34 | 35</t>
  </si>
  <si>
    <t>36 | 37 | 38 | 39</t>
  </si>
  <si>
    <t>40 | 41 | 42 | 43 | 44</t>
  </si>
  <si>
    <t>45 | 46 | 47 | 48</t>
  </si>
  <si>
    <t>49 | 50 | 51 | 52</t>
  </si>
  <si>
    <t>GRAND TOTAL</t>
  </si>
  <si>
    <t>Week convention</t>
  </si>
  <si>
    <t>Sunday-starting Hisense weeks (WK38 starts 13/09/2026)</t>
  </si>
  <si>
    <t>How it works:</t>
  </si>
  <si>
    <t>Enter the sale date in Sales Log. The week and pay day are calculated automatically.</t>
  </si>
  <si>
    <t>The Pay Day Totals sheet then adds all commission due on each pay day.</t>
  </si>
  <si>
    <t>Sales without a date cannot be assigned to a pay day until a date is entered.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</si>
</sst>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0.00"/>
    <numFmt numFmtId="165" formatCode="\£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22"/>
      <color rgb="FFFFFFFF"/>
      <name val="Calibri"/>
    </font>
    <font>
      <b/>
      <sz val="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F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/>
    <xf numFmtId="1" fontId="0" fillId="0" borderId="0" xfId="0" applyNumberFormat="1"/>
    <xf numFmtId="0" fontId="3" fillId="0" borderId="0" xfId="0" applyFont="1"/>
    <xf numFmtId="165" fontId="3" fillId="0" borderId="0" xfId="0" applyNumberFormat="1" applyFont="1"/>
    <xf numFmtId="14" fontId="0" fillId="0" borderId="0" xfId="0" applyNumberFormat="1"/>
    <xf numFmtId="164" fontId="0" fillId="0" borderId="0" xfId="0" applyNumberFormat="1"/>
    <xf numFmtId="165" fontId="5" fillId="0" borderId="0" xfId="0" applyNumberFormat="1" applyFont="1"/>
    <xf numFmtId="165" fontId="0" fillId="0" borderId="0" xfId="0" applyNumberFormat="1"/>
    <xf numFmtId="165" fontId="1" fillId="2" borderId="0" xfId="0" applyNumberFormat="1" applyFont="1" applyFill="1" applyAlignment="1">
      <alignment horizontal="center"/>
    </xf>
    <xf numFmtId="165" fontId="2" fillId="0" borderId="0" xfId="0" applyNumberFormat="1" applyFont="1"/>
    <xf numFmtId="0" fontId="4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pane ySplit="1" topLeftCell="A2" activePane="bottomLeft" state="frozen"/>
      <selection pane="bottomLeft" activeCell="A26" sqref="A26"/>
    </sheetView>
  </sheetViews>
  <sheetFormatPr defaultRowHeight="15" x14ac:dyDescent="0.2"/>
  <cols>
    <col min="1" max="1" width="13.98828125" customWidth="1"/>
    <col min="2" max="2" width="23.9453125" customWidth="1"/>
    <col min="3" max="3" width="13.98828125" customWidth="1"/>
    <col min="4" max="4" width="9.953125" customWidth="1"/>
    <col min="5" max="5" width="20.04296875" customWidth="1"/>
    <col min="6" max="6" width="22.05859375" customWidth="1"/>
    <col min="7" max="7" width="29.99609375" customWidth="1"/>
    <col min="8" max="8" width="9.953125" customWidth="1"/>
    <col min="9" max="9" width="18.0234375" customWidth="1"/>
    <col min="10" max="10" width="22.05859375" customWidth="1"/>
    <col min="11" max="11" width="18.0234375" customWidth="1"/>
  </cols>
  <sheetData>
    <row r="1" spans="1:11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6">
        <f>SUM(F:F)</f>
        <v>795</v>
      </c>
    </row>
    <row r="2" spans="1:11" x14ac:dyDescent="0.2">
      <c r="A2" s="7">
        <v>46278</v>
      </c>
      <c r="B2" t="s">
        <v>15</v>
      </c>
      <c r="C2" t="s">
        <v>11</v>
      </c>
      <c r="D2">
        <v>1</v>
      </c>
      <c r="E2" s="8">
        <v>50</v>
      </c>
      <c r="F2" s="8">
        <f>D2*E2</f>
        <v>50</v>
      </c>
      <c r="H2">
        <f>IF(A2="","",WEEKNUM(A2,1))</f>
        <v>38</v>
      </c>
      <c r="I2" t="str">
        <f>IFERROR(INDEX('Pay Calendar'!$B$2:$B$10,MATCH(H2,'Pay Calendar'!$A$2:$A$10,0)),"")</f>
        <v/>
      </c>
    </row>
    <row r="3" spans="1:11" x14ac:dyDescent="0.2">
      <c r="A3" s="7">
        <v>46278</v>
      </c>
      <c r="B3" t="s">
        <v>14</v>
      </c>
      <c r="C3" t="s">
        <v>11</v>
      </c>
      <c r="D3">
        <v>1</v>
      </c>
      <c r="E3" s="8">
        <v>5</v>
      </c>
      <c r="F3" s="8">
        <f>D3*E3</f>
        <v>5</v>
      </c>
      <c r="H3">
        <f>IF(A3="","",WEEKNUM(A3,1))</f>
        <v>38</v>
      </c>
      <c r="I3" t="str">
        <f>IFERROR(INDEX('Pay Calendar'!$B$2:$B$10,MATCH(H3,'Pay Calendar'!$A$2:$A$10,0)),"")</f>
        <v/>
      </c>
    </row>
    <row r="4" spans="1:11" x14ac:dyDescent="0.2">
      <c r="A4" s="7">
        <v>46278</v>
      </c>
      <c r="B4" t="s">
        <v>17</v>
      </c>
      <c r="C4" t="s">
        <v>11</v>
      </c>
      <c r="D4">
        <v>1</v>
      </c>
      <c r="E4" s="8">
        <v>20</v>
      </c>
      <c r="F4" s="8">
        <f>D4*E4</f>
        <v>20</v>
      </c>
      <c r="H4">
        <f>IF(A4="","",WEEKNUM(A4,1))</f>
        <v>38</v>
      </c>
      <c r="I4" t="str">
        <f>IFERROR(INDEX('Pay Calendar'!$B$2:$B$10,MATCH(H4,'Pay Calendar'!$A$2:$A$10,0)),"")</f>
        <v/>
      </c>
    </row>
    <row r="5" spans="1:11" x14ac:dyDescent="0.2">
      <c r="A5" s="7">
        <v>46277</v>
      </c>
      <c r="B5" t="s">
        <v>15</v>
      </c>
      <c r="C5" t="s">
        <v>11</v>
      </c>
      <c r="D5">
        <v>1</v>
      </c>
      <c r="E5" s="8">
        <v>50</v>
      </c>
      <c r="F5" s="8">
        <f>D5*E5</f>
        <v>50</v>
      </c>
      <c r="H5">
        <f>IF(A5="","",WEEKNUM(A5,1))</f>
        <v>37</v>
      </c>
      <c r="I5" t="str">
        <f>IFERROR(INDEX('Pay Calendar'!$B$2:$B$10,MATCH(H5,'Pay Calendar'!$A$2:$A$10,0)),"")</f>
        <v/>
      </c>
    </row>
    <row r="6" spans="1:11" x14ac:dyDescent="0.2">
      <c r="A6" s="7">
        <v>46276</v>
      </c>
      <c r="B6" t="s">
        <v>10</v>
      </c>
      <c r="C6" t="s">
        <v>11</v>
      </c>
      <c r="D6">
        <v>1</v>
      </c>
      <c r="E6" s="8">
        <v>60</v>
      </c>
      <c r="F6" s="8">
        <f>D6*E6</f>
        <v>60</v>
      </c>
      <c r="H6">
        <f>IF(A6="","",WEEKNUM(A6,1))</f>
        <v>37</v>
      </c>
      <c r="I6" t="str">
        <f>IFERROR(INDEX('Pay Calendar'!$B$2:$B$10,MATCH(H6,'Pay Calendar'!$A$2:$A$10,0)),"")</f>
        <v/>
      </c>
    </row>
    <row r="7" spans="1:11" x14ac:dyDescent="0.2">
      <c r="A7" s="7">
        <v>46276</v>
      </c>
      <c r="B7" t="s">
        <v>12</v>
      </c>
      <c r="C7" t="s">
        <v>13</v>
      </c>
      <c r="D7">
        <v>1</v>
      </c>
      <c r="E7" s="8">
        <v>40</v>
      </c>
      <c r="F7" s="8">
        <f>D7*E7</f>
        <v>40</v>
      </c>
      <c r="H7">
        <f>IF(A7="","",WEEKNUM(A7,1))</f>
        <v>37</v>
      </c>
      <c r="I7" t="str">
        <f>IFERROR(INDEX('Pay Calendar'!$B$2:$B$10,MATCH(H7,'Pay Calendar'!$A$2:$A$10,0)),"")</f>
        <v/>
      </c>
    </row>
    <row r="8" spans="1:11" x14ac:dyDescent="0.2">
      <c r="A8" s="7">
        <v>46276</v>
      </c>
      <c r="B8" t="s">
        <v>14</v>
      </c>
      <c r="C8" t="s">
        <v>11</v>
      </c>
      <c r="D8">
        <v>1</v>
      </c>
      <c r="E8" s="8">
        <v>5</v>
      </c>
      <c r="F8" s="8">
        <f>D8*E8</f>
        <v>5</v>
      </c>
      <c r="H8">
        <f>IF(A8="","",WEEKNUM(A8,1))</f>
        <v>37</v>
      </c>
      <c r="I8" t="str">
        <f>IFERROR(INDEX('Pay Calendar'!$B$2:$B$10,MATCH(H8,'Pay Calendar'!$A$2:$A$10,0)),"")</f>
        <v/>
      </c>
    </row>
    <row r="9" spans="1:11" x14ac:dyDescent="0.2">
      <c r="A9" s="7">
        <v>46276</v>
      </c>
      <c r="B9" t="s">
        <v>16</v>
      </c>
      <c r="C9" t="s">
        <v>11</v>
      </c>
      <c r="D9">
        <v>1</v>
      </c>
      <c r="E9" s="8">
        <v>15</v>
      </c>
      <c r="F9" s="8">
        <f>D9*E9</f>
        <v>15</v>
      </c>
      <c r="H9" s="4">
        <f>IF(A9="","",WEEKNUM(A9,1))</f>
        <v>37</v>
      </c>
      <c r="I9" t="str">
        <f>IFERROR(INDEX('Pay Calendar'!$B$2:$B$10,MATCH(H9,'Pay Calendar'!$A$2:$A$10,0)),"")</f>
        <v/>
      </c>
    </row>
    <row r="10" spans="1:11" x14ac:dyDescent="0.2">
      <c r="A10" s="7">
        <v>46271</v>
      </c>
      <c r="B10" t="s">
        <v>14</v>
      </c>
      <c r="C10" t="s">
        <v>11</v>
      </c>
      <c r="D10">
        <v>1</v>
      </c>
      <c r="E10" s="8">
        <v>5</v>
      </c>
      <c r="F10" s="8">
        <f>D10*E10</f>
        <v>5</v>
      </c>
      <c r="H10">
        <f>IF(A10="","",WEEKNUM(A10,1))</f>
        <v>37</v>
      </c>
      <c r="I10" t="str">
        <f>IFERROR(INDEX('Pay Calendar'!$B$2:$B$10,MATCH(H10,'Pay Calendar'!$A$2:$A$10,0)),"")</f>
        <v/>
      </c>
    </row>
    <row r="11" spans="1:11" x14ac:dyDescent="0.2">
      <c r="A11" s="7">
        <v>46271</v>
      </c>
      <c r="B11" t="s">
        <v>28</v>
      </c>
      <c r="C11" t="s">
        <v>11</v>
      </c>
      <c r="D11">
        <v>1</v>
      </c>
      <c r="E11" s="8">
        <v>5</v>
      </c>
      <c r="F11" s="8">
        <f>D11*E11</f>
        <v>5</v>
      </c>
      <c r="H11">
        <f>IF(A11="","",WEEKNUM(A11,1))</f>
        <v>37</v>
      </c>
      <c r="I11" t="str">
        <f>IFERROR(INDEX('Pay Calendar'!$B$2:$B$10,MATCH(H11,'Pay Calendar'!$A$2:$A$10,0)),"")</f>
        <v/>
      </c>
    </row>
    <row r="12" spans="1:11" x14ac:dyDescent="0.2">
      <c r="A12" s="7">
        <v>46271</v>
      </c>
      <c r="B12" t="s">
        <v>29</v>
      </c>
      <c r="C12" t="s">
        <v>11</v>
      </c>
      <c r="D12">
        <v>1</v>
      </c>
      <c r="E12" s="8">
        <v>0</v>
      </c>
      <c r="F12" s="8">
        <f>D12*E12</f>
        <v>0</v>
      </c>
      <c r="G12" t="s">
        <v>21</v>
      </c>
      <c r="H12">
        <f>IF(A12="","",WEEKNUM(A12,1))</f>
        <v>37</v>
      </c>
      <c r="I12" t="str">
        <f>IFERROR(INDEX('Pay Calendar'!$B$2:$B$10,MATCH(H12,'Pay Calendar'!$A$2:$A$10,0)),"")</f>
        <v/>
      </c>
    </row>
    <row r="13" spans="1:11" x14ac:dyDescent="0.2">
      <c r="A13" s="7">
        <v>46271</v>
      </c>
      <c r="B13" t="s">
        <v>30</v>
      </c>
      <c r="C13" t="s">
        <v>11</v>
      </c>
      <c r="D13">
        <v>1</v>
      </c>
      <c r="E13" s="8">
        <v>5</v>
      </c>
      <c r="F13" s="8">
        <f>D13*E13</f>
        <v>5</v>
      </c>
      <c r="H13">
        <f>IF(A13="","",WEEKNUM(A13,1))</f>
        <v>37</v>
      </c>
      <c r="I13" t="str">
        <f>IFERROR(INDEX('Pay Calendar'!$B$2:$B$10,MATCH(H13,'Pay Calendar'!$A$2:$A$10,0)),"")</f>
        <v/>
      </c>
    </row>
    <row r="14" spans="1:11" x14ac:dyDescent="0.2">
      <c r="A14" s="7">
        <v>46271</v>
      </c>
      <c r="B14" t="s">
        <v>23</v>
      </c>
      <c r="C14" t="s">
        <v>11</v>
      </c>
      <c r="D14">
        <v>1</v>
      </c>
      <c r="E14" s="8">
        <v>50</v>
      </c>
      <c r="F14" s="8">
        <f>D14*E14</f>
        <v>50</v>
      </c>
      <c r="H14">
        <f>IF(A14="","",WEEKNUM(A14,1))</f>
        <v>37</v>
      </c>
      <c r="I14" t="str">
        <f>IFERROR(INDEX('Pay Calendar'!$B$2:$B$10,MATCH(H14,'Pay Calendar'!$A$2:$A$10,0)),"")</f>
        <v/>
      </c>
    </row>
    <row r="15" spans="1:11" x14ac:dyDescent="0.2">
      <c r="A15" s="7">
        <v>46271</v>
      </c>
      <c r="B15" t="s">
        <v>24</v>
      </c>
      <c r="C15" t="s">
        <v>11</v>
      </c>
      <c r="D15">
        <v>1</v>
      </c>
      <c r="E15" s="8">
        <v>10</v>
      </c>
      <c r="F15" s="8">
        <f>D15*E15</f>
        <v>10</v>
      </c>
      <c r="H15">
        <f>IF(A15="","",WEEKNUM(A15,1))</f>
        <v>37</v>
      </c>
      <c r="I15" t="str">
        <f>IFERROR(INDEX('Pay Calendar'!$B$2:$B$10,MATCH(H15,'Pay Calendar'!$A$2:$A$10,0)),"")</f>
        <v/>
      </c>
    </row>
    <row r="16" spans="1:11" x14ac:dyDescent="0.2">
      <c r="A16" s="7">
        <v>46271</v>
      </c>
      <c r="B16" t="s">
        <v>25</v>
      </c>
      <c r="C16" t="s">
        <v>11</v>
      </c>
      <c r="D16">
        <v>1</v>
      </c>
      <c r="E16" s="8">
        <v>80</v>
      </c>
      <c r="F16" s="8">
        <f>D16*E16</f>
        <v>80</v>
      </c>
      <c r="H16">
        <f>IF(A16="","",WEEKNUM(A16,1))</f>
        <v>37</v>
      </c>
      <c r="I16" t="str">
        <f>IFERROR(INDEX('Pay Calendar'!$B$2:$B$10,MATCH(H16,'Pay Calendar'!$A$2:$A$10,0)),"")</f>
        <v/>
      </c>
    </row>
    <row r="17" spans="1:9" x14ac:dyDescent="0.2">
      <c r="A17" s="7">
        <v>46270</v>
      </c>
      <c r="B17" t="s">
        <v>27</v>
      </c>
      <c r="C17" t="s">
        <v>11</v>
      </c>
      <c r="D17">
        <v>1</v>
      </c>
      <c r="E17" s="8">
        <v>35</v>
      </c>
      <c r="F17" s="8">
        <f>D17*E17</f>
        <v>35</v>
      </c>
      <c r="H17">
        <f>IF(A17="","",WEEKNUM(A17,1))</f>
        <v>36</v>
      </c>
      <c r="I17" t="str">
        <f>IFERROR(INDEX('Pay Calendar'!$B$2:$B$10,MATCH(H17,'Pay Calendar'!$A$2:$A$10,0)),"")</f>
        <v/>
      </c>
    </row>
    <row r="18" spans="1:9" x14ac:dyDescent="0.2">
      <c r="A18" s="7">
        <v>46270</v>
      </c>
      <c r="B18" t="s">
        <v>12</v>
      </c>
      <c r="C18" t="s">
        <v>13</v>
      </c>
      <c r="D18">
        <v>1</v>
      </c>
      <c r="E18" s="8">
        <v>40</v>
      </c>
      <c r="F18" s="8">
        <f>D18*E18</f>
        <v>40</v>
      </c>
      <c r="H18">
        <f>IF(A18="","",WEEKNUM(A18,1))</f>
        <v>36</v>
      </c>
      <c r="I18" t="str">
        <f>IFERROR(INDEX('Pay Calendar'!$B$2:$B$10,MATCH(H18,'Pay Calendar'!$A$2:$A$10,0)),"")</f>
        <v/>
      </c>
    </row>
    <row r="19" spans="1:9" x14ac:dyDescent="0.2">
      <c r="A19" s="7">
        <v>46269</v>
      </c>
      <c r="B19" t="s">
        <v>20</v>
      </c>
      <c r="C19" t="s">
        <v>11</v>
      </c>
      <c r="D19">
        <v>3</v>
      </c>
      <c r="E19" s="8">
        <v>0</v>
      </c>
      <c r="F19" s="8">
        <f>D19*E19</f>
        <v>0</v>
      </c>
      <c r="G19" t="s">
        <v>21</v>
      </c>
      <c r="H19">
        <f>IF(A19="","",WEEKNUM(A19,1))</f>
        <v>36</v>
      </c>
      <c r="I19" t="str">
        <f>IFERROR(INDEX('Pay Calendar'!$B$2:$B$10,MATCH(H19,'Pay Calendar'!$A$2:$A$10,0)),"")</f>
        <v/>
      </c>
    </row>
    <row r="20" spans="1:9" x14ac:dyDescent="0.2">
      <c r="A20" s="7">
        <v>46269</v>
      </c>
      <c r="B20" t="s">
        <v>14</v>
      </c>
      <c r="C20" t="s">
        <v>11</v>
      </c>
      <c r="D20">
        <v>3</v>
      </c>
      <c r="E20" s="8">
        <v>5</v>
      </c>
      <c r="F20" s="8">
        <f>D20*E20</f>
        <v>15</v>
      </c>
      <c r="H20">
        <f>IF(A20="","",WEEKNUM(A20,1))</f>
        <v>36</v>
      </c>
      <c r="I20" t="str">
        <f>IFERROR(INDEX('Pay Calendar'!$B$2:$B$10,MATCH(H20,'Pay Calendar'!$A$2:$A$10,0)),"")</f>
        <v/>
      </c>
    </row>
    <row r="21" spans="1:9" x14ac:dyDescent="0.2">
      <c r="A21" s="7">
        <v>46269</v>
      </c>
      <c r="B21" t="s">
        <v>22</v>
      </c>
      <c r="C21" t="s">
        <v>11</v>
      </c>
      <c r="D21">
        <v>2</v>
      </c>
      <c r="E21" s="8">
        <v>20</v>
      </c>
      <c r="F21" s="8">
        <f>D21*E21</f>
        <v>40</v>
      </c>
      <c r="H21">
        <f>IF(A21="","",WEEKNUM(A21,1))</f>
        <v>36</v>
      </c>
      <c r="I21" t="str">
        <f>IFERROR(INDEX('Pay Calendar'!$B$2:$B$10,MATCH(H21,'Pay Calendar'!$A$2:$A$10,0)),"")</f>
        <v/>
      </c>
    </row>
    <row r="22" spans="1:9" x14ac:dyDescent="0.2">
      <c r="A22" s="7">
        <v>46269</v>
      </c>
      <c r="B22" t="s">
        <v>23</v>
      </c>
      <c r="C22" t="s">
        <v>11</v>
      </c>
      <c r="D22">
        <v>1</v>
      </c>
      <c r="E22" s="8">
        <v>50</v>
      </c>
      <c r="F22" s="8">
        <f>D22*E22</f>
        <v>50</v>
      </c>
      <c r="H22">
        <f>IF(A22="","",WEEKNUM(A22,1))</f>
        <v>36</v>
      </c>
      <c r="I22" t="str">
        <f>IFERROR(INDEX('Pay Calendar'!$B$2:$B$10,MATCH(H22,'Pay Calendar'!$A$2:$A$10,0)),"")</f>
        <v/>
      </c>
    </row>
    <row r="23" spans="1:9" x14ac:dyDescent="0.2">
      <c r="A23" s="7">
        <v>46269</v>
      </c>
      <c r="B23" t="s">
        <v>24</v>
      </c>
      <c r="C23" t="s">
        <v>11</v>
      </c>
      <c r="D23">
        <v>1</v>
      </c>
      <c r="E23" s="8">
        <v>10</v>
      </c>
      <c r="F23" s="8">
        <f>D23*E23</f>
        <v>10</v>
      </c>
      <c r="H23">
        <f>IF(A23="","",WEEKNUM(A23,1))</f>
        <v>36</v>
      </c>
      <c r="I23" t="str">
        <f>IFERROR(INDEX('Pay Calendar'!$B$2:$B$10,MATCH(H23,'Pay Calendar'!$A$2:$A$10,0)),"")</f>
        <v/>
      </c>
    </row>
    <row r="24" spans="1:9" x14ac:dyDescent="0.2">
      <c r="A24" s="7">
        <v>46269</v>
      </c>
      <c r="B24" t="s">
        <v>25</v>
      </c>
      <c r="C24" t="s">
        <v>11</v>
      </c>
      <c r="D24">
        <v>1</v>
      </c>
      <c r="E24" s="8">
        <v>80</v>
      </c>
      <c r="F24" s="8">
        <f>D24*E24</f>
        <v>80</v>
      </c>
      <c r="H24">
        <f>IF(A24="","",WEEKNUM(A24,1))</f>
        <v>36</v>
      </c>
      <c r="I24" t="str">
        <f>IFERROR(INDEX('Pay Calendar'!$B$2:$B$10,MATCH(H24,'Pay Calendar'!$A$2:$A$10,0)),"")</f>
        <v/>
      </c>
    </row>
    <row r="25" spans="1:9" x14ac:dyDescent="0.2">
      <c r="A25" s="7">
        <v>46269</v>
      </c>
      <c r="B25" t="s">
        <v>26</v>
      </c>
      <c r="C25" t="s">
        <v>11</v>
      </c>
      <c r="D25">
        <v>2</v>
      </c>
      <c r="E25" s="8">
        <v>20</v>
      </c>
      <c r="F25" s="8">
        <f>D25*E25</f>
        <v>40</v>
      </c>
      <c r="H25">
        <f>IF(A25="","",WEEKNUM(A25,1))</f>
        <v>36</v>
      </c>
      <c r="I25" t="str">
        <f>IFERROR(INDEX('Pay Calendar'!$B$2:$B$10,MATCH(H25,'Pay Calendar'!$A$2:$A$10,0)),"")</f>
        <v/>
      </c>
    </row>
    <row r="26" spans="1:9" x14ac:dyDescent="0.2">
      <c r="A26" s="7">
        <v>46268</v>
      </c>
      <c r="B26" t="s">
        <v>18</v>
      </c>
      <c r="C26" t="s">
        <v>11</v>
      </c>
      <c r="D26">
        <v>1</v>
      </c>
      <c r="E26" s="8">
        <v>5</v>
      </c>
      <c r="F26" s="8">
        <f>D26*E26</f>
        <v>5</v>
      </c>
      <c r="H26">
        <f>IF(A26="","",WEEKNUM(A26,1))</f>
        <v>36</v>
      </c>
      <c r="I26" t="str">
        <f>IFERROR(INDEX('Pay Calendar'!$B$2:$B$10,MATCH(H26,'Pay Calendar'!$A$2:$A$10,0)),"")</f>
        <v/>
      </c>
    </row>
    <row r="27" spans="1:9" x14ac:dyDescent="0.2">
      <c r="A27" s="7">
        <v>46268</v>
      </c>
      <c r="B27" t="s">
        <v>19</v>
      </c>
      <c r="C27" t="s">
        <v>11</v>
      </c>
      <c r="D27">
        <v>1</v>
      </c>
      <c r="E27" s="8">
        <v>80</v>
      </c>
      <c r="F27" s="8">
        <f>D27*E27</f>
        <v>80</v>
      </c>
      <c r="H27">
        <f>IF(A27="","",WEEKNUM(A27,1))</f>
        <v>36</v>
      </c>
      <c r="I27" t="str">
        <f>IFERROR(INDEX('Pay Calendar'!$B$2:$B$10,MATCH(H27,'Pay Calendar'!$A$2:$A$10,0)),"")</f>
        <v/>
      </c>
    </row>
    <row r="28" spans="1:9" x14ac:dyDescent="0.2">
      <c r="A28" s="7"/>
      <c r="C28" t="str">
        <f>IFERROR(VLOOKUP(B28,'Commission Rates'!$A:$C,2,FALSE),"")</f>
        <v/>
      </c>
      <c r="E28" s="8">
        <f>IFERROR(VLOOKUP(B28,'Commission Rates'!$A:$C,3,FALSE),0)</f>
        <v>0</v>
      </c>
      <c r="F28" s="8" t="str">
        <f>IF(B28="","",D28*E28)</f>
        <v/>
      </c>
      <c r="H28" t="str">
        <f>IF(A28="","",WEEKNUM(A28,1))</f>
        <v/>
      </c>
      <c r="I28" t="str">
        <f>IFERROR(INDEX('Pay Calendar'!$B$2:$B$10,MATCH(H28,'Pay Calendar'!$A$2:$A$10,0)),"")</f>
        <v/>
      </c>
    </row>
    <row r="29" spans="1:9" x14ac:dyDescent="0.2">
      <c r="A29" s="7"/>
      <c r="C29" t="str">
        <f>IFERROR(VLOOKUP(B29,'Commission Rates'!$A:$C,2,FALSE),"")</f>
        <v/>
      </c>
      <c r="E29" s="8">
        <f>IFERROR(VLOOKUP(B29,'Commission Rates'!$A:$C,3,FALSE),0)</f>
        <v>0</v>
      </c>
      <c r="F29" s="8" t="str">
        <f>IF(B29="","",D29*E29)</f>
        <v/>
      </c>
      <c r="H29" t="str">
        <f>IF(A29="","",WEEKNUM(A29,1))</f>
        <v/>
      </c>
      <c r="I29" t="str">
        <f>IFERROR(INDEX('Pay Calendar'!$B$2:$B$10,MATCH(H29,'Pay Calendar'!$A$2:$A$10,0)),"")</f>
        <v/>
      </c>
    </row>
    <row r="30" spans="1:9" x14ac:dyDescent="0.2">
      <c r="A30" s="7"/>
      <c r="C30" t="str">
        <f>IFERROR(VLOOKUP(B30,'Commission Rates'!$A:$C,2,FALSE),"")</f>
        <v/>
      </c>
      <c r="E30" s="8">
        <f>IFERROR(VLOOKUP(B30,'Commission Rates'!$A:$C,3,FALSE),0)</f>
        <v>0</v>
      </c>
      <c r="F30" s="8" t="str">
        <f>IF(B30="","",D30*E30)</f>
        <v/>
      </c>
      <c r="H30" t="str">
        <f>IF(A30="","",WEEKNUM(A30,1))</f>
        <v/>
      </c>
      <c r="I30" t="str">
        <f>IFERROR(INDEX('Pay Calendar'!$B$2:$B$10,MATCH(H30,'Pay Calendar'!$A$2:$A$10,0)),"")</f>
        <v/>
      </c>
    </row>
    <row r="31" spans="1:9" x14ac:dyDescent="0.2">
      <c r="A31" s="7"/>
      <c r="C31" t="str">
        <f>IFERROR(VLOOKUP(B31,'Commission Rates'!$A:$C,2,FALSE),"")</f>
        <v/>
      </c>
      <c r="E31" s="8">
        <f>IFERROR(VLOOKUP(B31,'Commission Rates'!$A:$C,3,FALSE),0)</f>
        <v>0</v>
      </c>
      <c r="F31" s="8" t="str">
        <f>IF(B31="","",D31*E31)</f>
        <v/>
      </c>
      <c r="H31" t="str">
        <f>IF(A31="","",WEEKNUM(A31,1))</f>
        <v/>
      </c>
      <c r="I31" t="str">
        <f>IFERROR(INDEX('Pay Calendar'!$B$2:$B$10,MATCH(H31,'Pay Calendar'!$A$2:$A$10,0)),"")</f>
        <v/>
      </c>
    </row>
    <row r="32" spans="1:9" x14ac:dyDescent="0.2">
      <c r="A32" s="7"/>
      <c r="C32" t="str">
        <f>IFERROR(VLOOKUP(B32,'Commission Rates'!$A:$C,2,FALSE),"")</f>
        <v/>
      </c>
      <c r="E32" s="8">
        <f>IFERROR(VLOOKUP(B32,'Commission Rates'!$A:$C,3,FALSE),0)</f>
        <v>0</v>
      </c>
      <c r="F32" s="8" t="str">
        <f>IF(B32="","",D32*E32)</f>
        <v/>
      </c>
      <c r="H32" t="str">
        <f>IF(A32="","",WEEKNUM(A32,1))</f>
        <v/>
      </c>
      <c r="I32" t="str">
        <f>IFERROR(INDEX('Pay Calendar'!$B$2:$B$10,MATCH(H32,'Pay Calendar'!$A$2:$A$10,0)),"")</f>
        <v/>
      </c>
    </row>
    <row r="33" spans="1:9" x14ac:dyDescent="0.2">
      <c r="A33" s="7"/>
      <c r="C33" t="str">
        <f>IFERROR(VLOOKUP(B33,'Commission Rates'!$A:$C,2,FALSE),"")</f>
        <v/>
      </c>
      <c r="E33" s="8">
        <f>IFERROR(VLOOKUP(B33,'Commission Rates'!$A:$C,3,FALSE),0)</f>
        <v>0</v>
      </c>
      <c r="F33" s="8" t="str">
        <f>IF(B33="","",D33*E33)</f>
        <v/>
      </c>
      <c r="H33" t="str">
        <f>IF(A33="","",WEEKNUM(A33,1))</f>
        <v/>
      </c>
      <c r="I33" t="str">
        <f>IFERROR(INDEX('Pay Calendar'!$B$2:$B$10,MATCH(H33,'Pay Calendar'!$A$2:$A$10,0)),"")</f>
        <v/>
      </c>
    </row>
    <row r="34" spans="1:9" x14ac:dyDescent="0.2">
      <c r="A34" s="7"/>
      <c r="C34" t="str">
        <f>IFERROR(VLOOKUP(B34,'Commission Rates'!$A:$C,2,FALSE),"")</f>
        <v/>
      </c>
      <c r="E34" s="8">
        <f>IFERROR(VLOOKUP(B34,'Commission Rates'!$A:$C,3,FALSE),0)</f>
        <v>0</v>
      </c>
      <c r="F34" s="8" t="str">
        <f>IF(B34="","",D34*E34)</f>
        <v/>
      </c>
      <c r="H34" t="str">
        <f>IF(A34="","",WEEKNUM(A34,1))</f>
        <v/>
      </c>
      <c r="I34" t="str">
        <f>IFERROR(INDEX('Pay Calendar'!$B$2:$B$10,MATCH(H34,'Pay Calendar'!$A$2:$A$10,0)),"")</f>
        <v/>
      </c>
    </row>
    <row r="35" spans="1:9" x14ac:dyDescent="0.2">
      <c r="A35" s="7"/>
      <c r="C35" t="str">
        <f>IFERROR(VLOOKUP(B35,'Commission Rates'!$A:$C,2,FALSE),"")</f>
        <v/>
      </c>
      <c r="E35" s="8">
        <f>IFERROR(VLOOKUP(B35,'Commission Rates'!$A:$C,3,FALSE),0)</f>
        <v>0</v>
      </c>
      <c r="F35" s="8" t="str">
        <f>IF(B35="","",D35*E35)</f>
        <v/>
      </c>
      <c r="H35" t="str">
        <f>IF(A35="","",WEEKNUM(A35,1))</f>
        <v/>
      </c>
      <c r="I35" t="str">
        <f>IFERROR(INDEX('Pay Calendar'!$B$2:$B$10,MATCH(H35,'Pay Calendar'!$A$2:$A$10,0)),"")</f>
        <v/>
      </c>
    </row>
    <row r="36" spans="1:9" x14ac:dyDescent="0.2">
      <c r="A36" s="7"/>
      <c r="C36" t="str">
        <f>IFERROR(VLOOKUP(B36,'Commission Rates'!$A:$C,2,FALSE),"")</f>
        <v/>
      </c>
      <c r="E36" s="8">
        <f>IFERROR(VLOOKUP(B36,'Commission Rates'!$A:$C,3,FALSE),0)</f>
        <v>0</v>
      </c>
      <c r="F36" s="8" t="str">
        <f>IF(B36="","",D36*E36)</f>
        <v/>
      </c>
      <c r="H36" t="str">
        <f>IF(A36="","",WEEKNUM(A36,1))</f>
        <v/>
      </c>
      <c r="I36" t="str">
        <f>IFERROR(INDEX('Pay Calendar'!$B$2:$B$10,MATCH(H36,'Pay Calendar'!$A$2:$A$10,0)),"")</f>
        <v/>
      </c>
    </row>
    <row r="37" spans="1:9" x14ac:dyDescent="0.2">
      <c r="A37" s="7"/>
      <c r="C37" t="str">
        <f>IFERROR(VLOOKUP(B37,'Commission Rates'!$A:$C,2,FALSE),"")</f>
        <v/>
      </c>
      <c r="E37" s="8">
        <f>IFERROR(VLOOKUP(B37,'Commission Rates'!$A:$C,3,FALSE),0)</f>
        <v>0</v>
      </c>
      <c r="F37" s="8" t="str">
        <f>IF(B37="","",D37*E37)</f>
        <v/>
      </c>
      <c r="H37" t="str">
        <f>IF(A37="","",WEEKNUM(A37,1))</f>
        <v/>
      </c>
      <c r="I37" t="str">
        <f>IFERROR(INDEX('Pay Calendar'!$B$2:$B$10,MATCH(H37,'Pay Calendar'!$A$2:$A$10,0)),"")</f>
        <v/>
      </c>
    </row>
    <row r="38" spans="1:9" x14ac:dyDescent="0.2">
      <c r="A38" s="7"/>
      <c r="C38" t="str">
        <f>IFERROR(VLOOKUP(B38,'Commission Rates'!$A:$C,2,FALSE),"")</f>
        <v/>
      </c>
      <c r="E38" s="8">
        <f>IFERROR(VLOOKUP(B38,'Commission Rates'!$A:$C,3,FALSE),0)</f>
        <v>0</v>
      </c>
      <c r="F38" s="8" t="str">
        <f>IF(B38="","",D38*E38)</f>
        <v/>
      </c>
      <c r="H38" t="str">
        <f>IF(A38="","",WEEKNUM(A38,1))</f>
        <v/>
      </c>
      <c r="I38" t="str">
        <f>IFERROR(INDEX('Pay Calendar'!$B$2:$B$10,MATCH(H38,'Pay Calendar'!$A$2:$A$10,0)),"")</f>
        <v/>
      </c>
    </row>
    <row r="39" spans="1:9" x14ac:dyDescent="0.2">
      <c r="A39" s="7"/>
      <c r="C39" t="str">
        <f>IFERROR(VLOOKUP(B39,'Commission Rates'!$A:$C,2,FALSE),"")</f>
        <v/>
      </c>
      <c r="E39" s="8">
        <f>IFERROR(VLOOKUP(B39,'Commission Rates'!$A:$C,3,FALSE),0)</f>
        <v>0</v>
      </c>
      <c r="F39" s="8" t="str">
        <f>IF(B39="","",D39*E39)</f>
        <v/>
      </c>
      <c r="H39" t="str">
        <f>IF(A39="","",WEEKNUM(A39,1))</f>
        <v/>
      </c>
      <c r="I39" t="str">
        <f>IFERROR(INDEX('Pay Calendar'!$B$2:$B$10,MATCH(H39,'Pay Calendar'!$A$2:$A$10,0)),"")</f>
        <v/>
      </c>
    </row>
    <row r="40" spans="1:9" x14ac:dyDescent="0.2">
      <c r="A40" s="7"/>
      <c r="C40" t="str">
        <f>IFERROR(VLOOKUP(B40,'Commission Rates'!$A:$C,2,FALSE),"")</f>
        <v/>
      </c>
      <c r="E40" s="8">
        <f>IFERROR(VLOOKUP(B40,'Commission Rates'!$A:$C,3,FALSE),0)</f>
        <v>0</v>
      </c>
      <c r="F40" s="8" t="str">
        <f>IF(B40="","",D40*E40)</f>
        <v/>
      </c>
      <c r="H40" t="str">
        <f>IF(A40="","",WEEKNUM(A40,1))</f>
        <v/>
      </c>
      <c r="I40" t="str">
        <f>IFERROR(INDEX('Pay Calendar'!$B$2:$B$10,MATCH(H40,'Pay Calendar'!$A$2:$A$10,0)),"")</f>
        <v/>
      </c>
    </row>
    <row r="41" spans="1:9" x14ac:dyDescent="0.2">
      <c r="A41" s="7"/>
      <c r="C41" t="str">
        <f>IFERROR(VLOOKUP(B41,'Commission Rates'!$A:$C,2,FALSE),"")</f>
        <v/>
      </c>
      <c r="E41" s="8">
        <f>IFERROR(VLOOKUP(B41,'Commission Rates'!$A:$C,3,FALSE),0)</f>
        <v>0</v>
      </c>
      <c r="F41" s="8" t="str">
        <f>IF(B41="","",D41*E41)</f>
        <v/>
      </c>
      <c r="H41" t="str">
        <f>IF(A41="","",WEEKNUM(A41,1))</f>
        <v/>
      </c>
      <c r="I41" t="str">
        <f>IFERROR(INDEX('Pay Calendar'!$B$2:$B$10,MATCH(H41,'Pay Calendar'!$A$2:$A$10,0)),"")</f>
        <v/>
      </c>
    </row>
    <row r="42" spans="1:9" x14ac:dyDescent="0.2">
      <c r="A42" s="7"/>
      <c r="C42" t="str">
        <f>IFERROR(VLOOKUP(B42,'Commission Rates'!$A:$C,2,FALSE),"")</f>
        <v/>
      </c>
      <c r="E42" s="8">
        <f>IFERROR(VLOOKUP(B42,'Commission Rates'!$A:$C,3,FALSE),0)</f>
        <v>0</v>
      </c>
      <c r="F42" s="8" t="str">
        <f>IF(B42="","",D42*E42)</f>
        <v/>
      </c>
      <c r="H42" t="str">
        <f>IF(A42="","",WEEKNUM(A42,1))</f>
        <v/>
      </c>
      <c r="I42" t="str">
        <f>IFERROR(INDEX('Pay Calendar'!$B$2:$B$10,MATCH(H42,'Pay Calendar'!$A$2:$A$10,0)),"")</f>
        <v/>
      </c>
    </row>
    <row r="43" spans="1:9" x14ac:dyDescent="0.2">
      <c r="A43" s="7"/>
      <c r="C43" t="str">
        <f>IFERROR(VLOOKUP(B43,'Commission Rates'!$A:$C,2,FALSE),"")</f>
        <v/>
      </c>
      <c r="E43" s="8">
        <f>IFERROR(VLOOKUP(B43,'Commission Rates'!$A:$C,3,FALSE),0)</f>
        <v>0</v>
      </c>
      <c r="F43" s="8" t="str">
        <f>IF(B43="","",D43*E43)</f>
        <v/>
      </c>
      <c r="H43" t="str">
        <f>IF(A43="","",WEEKNUM(A43,1))</f>
        <v/>
      </c>
      <c r="I43" t="str">
        <f>IFERROR(INDEX('Pay Calendar'!$B$2:$B$10,MATCH(H43,'Pay Calendar'!$A$2:$A$10,0)),"")</f>
        <v/>
      </c>
    </row>
    <row r="44" spans="1:9" x14ac:dyDescent="0.2">
      <c r="A44" s="7"/>
      <c r="C44" t="str">
        <f>IFERROR(VLOOKUP(B44,'Commission Rates'!$A:$C,2,FALSE),"")</f>
        <v/>
      </c>
      <c r="E44" s="8">
        <f>IFERROR(VLOOKUP(B44,'Commission Rates'!$A:$C,3,FALSE),0)</f>
        <v>0</v>
      </c>
      <c r="F44" s="8" t="str">
        <f>IF(B44="","",D44*E44)</f>
        <v/>
      </c>
      <c r="H44" t="str">
        <f>IF(A44="","",WEEKNUM(A44,1))</f>
        <v/>
      </c>
      <c r="I44" t="str">
        <f>IFERROR(INDEX('Pay Calendar'!$B$2:$B$10,MATCH(H44,'Pay Calendar'!$A$2:$A$10,0)),"")</f>
        <v/>
      </c>
    </row>
    <row r="45" spans="1:9" x14ac:dyDescent="0.2">
      <c r="A45" s="7"/>
      <c r="C45" t="str">
        <f>IFERROR(VLOOKUP(B45,'Commission Rates'!$A:$C,2,FALSE),"")</f>
        <v/>
      </c>
      <c r="E45" s="8">
        <f>IFERROR(VLOOKUP(B45,'Commission Rates'!$A:$C,3,FALSE),0)</f>
        <v>0</v>
      </c>
      <c r="F45" s="8" t="str">
        <f>IF(B45="","",D45*E45)</f>
        <v/>
      </c>
      <c r="H45" t="str">
        <f>IF(A45="","",WEEKNUM(A45,1))</f>
        <v/>
      </c>
      <c r="I45" t="str">
        <f>IFERROR(INDEX('Pay Calendar'!$B$2:$B$10,MATCH(H45,'Pay Calendar'!$A$2:$A$10,0)),"")</f>
        <v/>
      </c>
    </row>
    <row r="46" spans="1:9" x14ac:dyDescent="0.2">
      <c r="A46" s="7"/>
      <c r="C46" t="str">
        <f>IFERROR(VLOOKUP(B46,'Commission Rates'!$A:$C,2,FALSE),"")</f>
        <v/>
      </c>
      <c r="E46" s="8">
        <f>IFERROR(VLOOKUP(B46,'Commission Rates'!$A:$C,3,FALSE),0)</f>
        <v>0</v>
      </c>
      <c r="F46" s="8" t="str">
        <f>IF(B46="","",D46*E46)</f>
        <v/>
      </c>
      <c r="H46" t="str">
        <f>IF(A46="","",WEEKNUM(A46,1))</f>
        <v/>
      </c>
      <c r="I46" t="str">
        <f>IFERROR(INDEX('Pay Calendar'!$B$2:$B$10,MATCH(H46,'Pay Calendar'!$A$2:$A$10,0)),"")</f>
        <v/>
      </c>
    </row>
    <row r="47" spans="1:9" x14ac:dyDescent="0.2">
      <c r="A47" s="7"/>
      <c r="C47" t="str">
        <f>IFERROR(VLOOKUP(B47,'Commission Rates'!$A:$C,2,FALSE),"")</f>
        <v/>
      </c>
      <c r="E47" s="8">
        <f>IFERROR(VLOOKUP(B47,'Commission Rates'!$A:$C,3,FALSE),0)</f>
        <v>0</v>
      </c>
      <c r="F47" s="8" t="str">
        <f>IF(B47="","",D47*E47)</f>
        <v/>
      </c>
      <c r="H47" t="str">
        <f>IF(A47="","",WEEKNUM(A47,1))</f>
        <v/>
      </c>
      <c r="I47" t="str">
        <f>IFERROR(INDEX('Pay Calendar'!$B$2:$B$10,MATCH(H47,'Pay Calendar'!$A$2:$A$10,0)),"")</f>
        <v/>
      </c>
    </row>
    <row r="48" spans="1:9" x14ac:dyDescent="0.2">
      <c r="A48" s="7"/>
      <c r="C48" t="str">
        <f>IFERROR(VLOOKUP(B48,'Commission Rates'!$A:$C,2,FALSE),"")</f>
        <v/>
      </c>
      <c r="E48" s="8">
        <f>IFERROR(VLOOKUP(B48,'Commission Rates'!$A:$C,3,FALSE),0)</f>
        <v>0</v>
      </c>
      <c r="F48" s="8" t="str">
        <f>IF(B48="","",D48*E48)</f>
        <v/>
      </c>
      <c r="H48" t="str">
        <f>IF(A48="","",WEEKNUM(A48,1))</f>
        <v/>
      </c>
      <c r="I48" t="str">
        <f>IFERROR(INDEX('Pay Calendar'!$B$2:$B$10,MATCH(H48,'Pay Calendar'!$A$2:$A$10,0)),"")</f>
        <v/>
      </c>
    </row>
    <row r="49" spans="1:9" x14ac:dyDescent="0.2">
      <c r="A49" s="7"/>
      <c r="C49" t="str">
        <f>IFERROR(VLOOKUP(B49,'Commission Rates'!$A:$C,2,FALSE),"")</f>
        <v/>
      </c>
      <c r="E49" s="8">
        <f>IFERROR(VLOOKUP(B49,'Commission Rates'!$A:$C,3,FALSE),0)</f>
        <v>0</v>
      </c>
      <c r="F49" s="8" t="str">
        <f>IF(B49="","",D49*E49)</f>
        <v/>
      </c>
      <c r="H49" t="str">
        <f>IF(A49="","",WEEKNUM(A49,1))</f>
        <v/>
      </c>
      <c r="I49" t="str">
        <f>IFERROR(INDEX('Pay Calendar'!$B$2:$B$10,MATCH(H49,'Pay Calendar'!$A$2:$A$10,0)),"")</f>
        <v/>
      </c>
    </row>
    <row r="50" spans="1:9" x14ac:dyDescent="0.2">
      <c r="A50" s="7"/>
      <c r="C50" t="str">
        <f>IFERROR(VLOOKUP(B50,'Commission Rates'!$A:$C,2,FALSE),"")</f>
        <v/>
      </c>
      <c r="E50" s="8">
        <f>IFERROR(VLOOKUP(B50,'Commission Rates'!$A:$C,3,FALSE),0)</f>
        <v>0</v>
      </c>
      <c r="F50" s="8" t="str">
        <f>IF(B50="","",D50*E50)</f>
        <v/>
      </c>
      <c r="H50" t="str">
        <f>IF(A50="","",WEEKNUM(A50,1))</f>
        <v/>
      </c>
      <c r="I50" t="str">
        <f>IFERROR(INDEX('Pay Calendar'!$B$2:$B$10,MATCH(H50,'Pay Calendar'!$A$2:$A$10,0)),"")</f>
        <v/>
      </c>
    </row>
    <row r="51" spans="1:9" x14ac:dyDescent="0.2">
      <c r="A51" s="7"/>
      <c r="C51" t="str">
        <f>IFERROR(VLOOKUP(B51,'Commission Rates'!$A:$C,2,FALSE),"")</f>
        <v/>
      </c>
      <c r="E51" s="8">
        <f>IFERROR(VLOOKUP(B51,'Commission Rates'!$A:$C,3,FALSE),0)</f>
        <v>0</v>
      </c>
      <c r="F51" s="8" t="str">
        <f>IF(B51="","",D51*E51)</f>
        <v/>
      </c>
      <c r="H51" t="str">
        <f>IF(A51="","",WEEKNUM(A51,1))</f>
        <v/>
      </c>
      <c r="I51" t="str">
        <f>IFERROR(INDEX('Pay Calendar'!$B$2:$B$10,MATCH(H51,'Pay Calendar'!$A$2:$A$10,0)),"")</f>
        <v/>
      </c>
    </row>
    <row r="52" spans="1:9" x14ac:dyDescent="0.2">
      <c r="A52" s="7"/>
      <c r="C52" t="str">
        <f>IFERROR(VLOOKUP(B52,'Commission Rates'!$A:$C,2,FALSE),"")</f>
        <v/>
      </c>
      <c r="E52" s="8">
        <f>IFERROR(VLOOKUP(B52,'Commission Rates'!$A:$C,3,FALSE),0)</f>
        <v>0</v>
      </c>
      <c r="F52" s="8" t="str">
        <f>IF(B52="","",D52*E52)</f>
        <v/>
      </c>
      <c r="H52" t="str">
        <f>IF(A52="","",WEEKNUM(A52,1))</f>
        <v/>
      </c>
      <c r="I52" t="str">
        <f>IFERROR(INDEX('Pay Calendar'!$B$2:$B$10,MATCH(H52,'Pay Calendar'!$A$2:$A$10,0)),"")</f>
        <v/>
      </c>
    </row>
    <row r="53" spans="1:9" x14ac:dyDescent="0.2">
      <c r="A53" s="7"/>
      <c r="C53" t="str">
        <f>IFERROR(VLOOKUP(B53,'Commission Rates'!$A:$C,2,FALSE),"")</f>
        <v/>
      </c>
      <c r="E53" s="8">
        <f>IFERROR(VLOOKUP(B53,'Commission Rates'!$A:$C,3,FALSE),0)</f>
        <v>0</v>
      </c>
      <c r="F53" s="8" t="str">
        <f>IF(B53="","",D53*E53)</f>
        <v/>
      </c>
      <c r="H53" t="str">
        <f>IF(A53="","",WEEKNUM(A53,1))</f>
        <v/>
      </c>
      <c r="I53" t="str">
        <f>IFERROR(INDEX('Pay Calendar'!$B$2:$B$10,MATCH(H53,'Pay Calendar'!$A$2:$A$10,0)),"")</f>
        <v/>
      </c>
    </row>
    <row r="54" spans="1:9" x14ac:dyDescent="0.2">
      <c r="A54" s="7"/>
      <c r="C54" t="str">
        <f>IFERROR(VLOOKUP(B54,'Commission Rates'!$A:$C,2,FALSE),"")</f>
        <v/>
      </c>
      <c r="E54" s="8">
        <f>IFERROR(VLOOKUP(B54,'Commission Rates'!$A:$C,3,FALSE),0)</f>
        <v>0</v>
      </c>
      <c r="F54" s="8" t="str">
        <f>IF(B54="","",D54*E54)</f>
        <v/>
      </c>
      <c r="H54" t="str">
        <f>IF(A54="","",WEEKNUM(A54,1))</f>
        <v/>
      </c>
      <c r="I54" t="str">
        <f>IFERROR(INDEX('Pay Calendar'!$B$2:$B$10,MATCH(H54,'Pay Calendar'!$A$2:$A$10,0)),"")</f>
        <v/>
      </c>
    </row>
    <row r="55" spans="1:9" x14ac:dyDescent="0.2">
      <c r="A55" s="7"/>
      <c r="C55" t="str">
        <f>IFERROR(VLOOKUP(B55,'Commission Rates'!$A:$C,2,FALSE),"")</f>
        <v/>
      </c>
      <c r="E55" s="8">
        <f>IFERROR(VLOOKUP(B55,'Commission Rates'!$A:$C,3,FALSE),0)</f>
        <v>0</v>
      </c>
      <c r="F55" s="8" t="str">
        <f>IF(B55="","",D55*E55)</f>
        <v/>
      </c>
      <c r="H55" t="str">
        <f>IF(A55="","",WEEKNUM(A55,1))</f>
        <v/>
      </c>
      <c r="I55" t="str">
        <f>IFERROR(INDEX('Pay Calendar'!$B$2:$B$10,MATCH(H55,'Pay Calendar'!$A$2:$A$10,0)),"")</f>
        <v/>
      </c>
    </row>
    <row r="56" spans="1:9" x14ac:dyDescent="0.2">
      <c r="A56" s="7"/>
      <c r="C56" t="str">
        <f>IFERROR(VLOOKUP(B56,'Commission Rates'!$A:$C,2,FALSE),"")</f>
        <v/>
      </c>
      <c r="E56" s="8">
        <f>IFERROR(VLOOKUP(B56,'Commission Rates'!$A:$C,3,FALSE),0)</f>
        <v>0</v>
      </c>
      <c r="F56" s="8" t="str">
        <f>IF(B56="","",D56*E56)</f>
        <v/>
      </c>
      <c r="H56" t="str">
        <f>IF(A56="","",WEEKNUM(A56,1))</f>
        <v/>
      </c>
      <c r="I56" t="str">
        <f>IFERROR(INDEX('Pay Calendar'!$B$2:$B$10,MATCH(H56,'Pay Calendar'!$A$2:$A$10,0)),"")</f>
        <v/>
      </c>
    </row>
    <row r="57" spans="1:9" x14ac:dyDescent="0.2">
      <c r="A57" s="7"/>
      <c r="C57" t="str">
        <f>IFERROR(VLOOKUP(B57,'Commission Rates'!$A:$C,2,FALSE),"")</f>
        <v/>
      </c>
      <c r="E57" s="8">
        <f>IFERROR(VLOOKUP(B57,'Commission Rates'!$A:$C,3,FALSE),0)</f>
        <v>0</v>
      </c>
      <c r="F57" s="8" t="str">
        <f>IF(B57="","",D57*E57)</f>
        <v/>
      </c>
      <c r="H57" t="str">
        <f>IF(A57="","",WEEKNUM(A57,1))</f>
        <v/>
      </c>
      <c r="I57" t="str">
        <f>IFERROR(INDEX('Pay Calendar'!$B$2:$B$10,MATCH(H57,'Pay Calendar'!$A$2:$A$10,0)),"")</f>
        <v/>
      </c>
    </row>
    <row r="58" spans="1:9" x14ac:dyDescent="0.2">
      <c r="A58" s="7"/>
      <c r="C58" t="str">
        <f>IFERROR(VLOOKUP(B58,'Commission Rates'!$A:$C,2,FALSE),"")</f>
        <v/>
      </c>
      <c r="E58" s="8">
        <f>IFERROR(VLOOKUP(B58,'Commission Rates'!$A:$C,3,FALSE),0)</f>
        <v>0</v>
      </c>
      <c r="F58" s="8" t="str">
        <f>IF(B58="","",D58*E58)</f>
        <v/>
      </c>
      <c r="H58" t="str">
        <f>IF(A58="","",WEEKNUM(A58,1))</f>
        <v/>
      </c>
      <c r="I58" t="str">
        <f>IFERROR(INDEX('Pay Calendar'!$B$2:$B$10,MATCH(H58,'Pay Calendar'!$A$2:$A$10,0)),"")</f>
        <v/>
      </c>
    </row>
    <row r="59" spans="1:9" x14ac:dyDescent="0.2">
      <c r="A59" s="7"/>
      <c r="C59" t="str">
        <f>IFERROR(VLOOKUP(B59,'Commission Rates'!$A:$C,2,FALSE),"")</f>
        <v/>
      </c>
      <c r="E59" s="8">
        <f>IFERROR(VLOOKUP(B59,'Commission Rates'!$A:$C,3,FALSE),0)</f>
        <v>0</v>
      </c>
      <c r="F59" s="8" t="str">
        <f>IF(B59="","",D59*E59)</f>
        <v/>
      </c>
      <c r="H59" t="str">
        <f>IF(A59="","",WEEKNUM(A59,1))</f>
        <v/>
      </c>
      <c r="I59" t="str">
        <f>IFERROR(INDEX('Pay Calendar'!$B$2:$B$10,MATCH(H59,'Pay Calendar'!$A$2:$A$10,0)),"")</f>
        <v/>
      </c>
    </row>
    <row r="60" spans="1:9" x14ac:dyDescent="0.2">
      <c r="A60" s="7"/>
      <c r="C60" t="str">
        <f>IFERROR(VLOOKUP(B60,'Commission Rates'!$A:$C,2,FALSE),"")</f>
        <v/>
      </c>
      <c r="E60" s="8">
        <f>IFERROR(VLOOKUP(B60,'Commission Rates'!$A:$C,3,FALSE),0)</f>
        <v>0</v>
      </c>
      <c r="F60" s="8" t="str">
        <f>IF(B60="","",D60*E60)</f>
        <v/>
      </c>
      <c r="H60" t="str">
        <f>IF(A60="","",WEEKNUM(A60,1))</f>
        <v/>
      </c>
      <c r="I60" t="str">
        <f>IFERROR(INDEX('Pay Calendar'!$B$2:$B$10,MATCH(H60,'Pay Calendar'!$A$2:$A$10,0)),"")</f>
        <v/>
      </c>
    </row>
    <row r="61" spans="1:9" x14ac:dyDescent="0.2">
      <c r="A61" s="7"/>
      <c r="C61" t="str">
        <f>IFERROR(VLOOKUP(B61,'Commission Rates'!$A:$C,2,FALSE),"")</f>
        <v/>
      </c>
      <c r="E61" s="8">
        <f>IFERROR(VLOOKUP(B61,'Commission Rates'!$A:$C,3,FALSE),0)</f>
        <v>0</v>
      </c>
      <c r="F61" s="8" t="str">
        <f>IF(B61="","",D61*E61)</f>
        <v/>
      </c>
      <c r="H61" t="str">
        <f>IF(A61="","",WEEKNUM(A61,1))</f>
        <v/>
      </c>
      <c r="I61" t="str">
        <f>IFERROR(INDEX('Pay Calendar'!$B$2:$B$10,MATCH(H61,'Pay Calendar'!$A$2:$A$10,0)),"")</f>
        <v/>
      </c>
    </row>
    <row r="62" spans="1:9" x14ac:dyDescent="0.2">
      <c r="A62" s="7"/>
      <c r="C62" t="str">
        <f>IFERROR(VLOOKUP(B62,'Commission Rates'!$A:$C,2,FALSE),"")</f>
        <v/>
      </c>
      <c r="E62" s="8">
        <f>IFERROR(VLOOKUP(B62,'Commission Rates'!$A:$C,3,FALSE),0)</f>
        <v>0</v>
      </c>
      <c r="F62" s="8" t="str">
        <f>IF(B62="","",D62*E62)</f>
        <v/>
      </c>
      <c r="H62" t="str">
        <f>IF(A62="","",WEEKNUM(A62,1))</f>
        <v/>
      </c>
      <c r="I62" t="str">
        <f>IFERROR(INDEX('Pay Calendar'!$B$2:$B$10,MATCH(H62,'Pay Calendar'!$A$2:$A$10,0)),"")</f>
        <v/>
      </c>
    </row>
    <row r="63" spans="1:9" x14ac:dyDescent="0.2">
      <c r="A63" s="7"/>
      <c r="C63" t="str">
        <f>IFERROR(VLOOKUP(B63,'Commission Rates'!$A:$C,2,FALSE),"")</f>
        <v/>
      </c>
      <c r="E63" s="8">
        <f>IFERROR(VLOOKUP(B63,'Commission Rates'!$A:$C,3,FALSE),0)</f>
        <v>0</v>
      </c>
      <c r="F63" s="8" t="str">
        <f>IF(B63="","",D63*E63)</f>
        <v/>
      </c>
      <c r="H63" t="str">
        <f>IF(A63="","",WEEKNUM(A63,1))</f>
        <v/>
      </c>
      <c r="I63" t="str">
        <f>IFERROR(INDEX('Pay Calendar'!$B$2:$B$10,MATCH(H63,'Pay Calendar'!$A$2:$A$10,0)),"")</f>
        <v/>
      </c>
    </row>
    <row r="64" spans="1:9" x14ac:dyDescent="0.2">
      <c r="A64" s="7"/>
      <c r="C64" t="str">
        <f>IFERROR(VLOOKUP(B64,'Commission Rates'!$A:$C,2,FALSE),"")</f>
        <v/>
      </c>
      <c r="E64" s="8">
        <f>IFERROR(VLOOKUP(B64,'Commission Rates'!$A:$C,3,FALSE),0)</f>
        <v>0</v>
      </c>
      <c r="F64" s="8" t="str">
        <f>IF(B64="","",D64*E64)</f>
        <v/>
      </c>
      <c r="H64" t="str">
        <f>IF(A64="","",WEEKNUM(A64,1))</f>
        <v/>
      </c>
      <c r="I64" t="str">
        <f>IFERROR(INDEX('Pay Calendar'!$B$2:$B$10,MATCH(H64,'Pay Calendar'!$A$2:$A$10,0)),"")</f>
        <v/>
      </c>
    </row>
    <row r="65" spans="1:9" x14ac:dyDescent="0.2">
      <c r="A65" s="7"/>
      <c r="C65" t="str">
        <f>IFERROR(VLOOKUP(B65,'Commission Rates'!$A:$C,2,FALSE),"")</f>
        <v/>
      </c>
      <c r="E65" s="8">
        <f>IFERROR(VLOOKUP(B65,'Commission Rates'!$A:$C,3,FALSE),0)</f>
        <v>0</v>
      </c>
      <c r="F65" s="8" t="str">
        <f>IF(B65="","",D65*E65)</f>
        <v/>
      </c>
      <c r="H65" t="str">
        <f>IF(A65="","",WEEKNUM(A65,1))</f>
        <v/>
      </c>
      <c r="I65" t="str">
        <f>IFERROR(INDEX('Pay Calendar'!$B$2:$B$10,MATCH(H65,'Pay Calendar'!$A$2:$A$10,0)),"")</f>
        <v/>
      </c>
    </row>
    <row r="66" spans="1:9" x14ac:dyDescent="0.2">
      <c r="A66" s="7"/>
      <c r="C66" t="str">
        <f>IFERROR(VLOOKUP(B66,'Commission Rates'!$A:$C,2,FALSE),"")</f>
        <v/>
      </c>
      <c r="E66" s="8">
        <f>IFERROR(VLOOKUP(B66,'Commission Rates'!$A:$C,3,FALSE),0)</f>
        <v>0</v>
      </c>
      <c r="F66" s="8" t="str">
        <f>IF(B66="","",D66*E66)</f>
        <v/>
      </c>
      <c r="H66" t="str">
        <f>IF(A66="","",WEEKNUM(A66,1))</f>
        <v/>
      </c>
      <c r="I66" t="str">
        <f>IFERROR(INDEX('Pay Calendar'!$B$2:$B$10,MATCH(H66,'Pay Calendar'!$A$2:$A$10,0)),"")</f>
        <v/>
      </c>
    </row>
    <row r="67" spans="1:9" x14ac:dyDescent="0.2">
      <c r="A67" s="7"/>
      <c r="C67" t="str">
        <f>IFERROR(VLOOKUP(B67,'Commission Rates'!$A:$C,2,FALSE),"")</f>
        <v/>
      </c>
      <c r="E67" s="8">
        <f>IFERROR(VLOOKUP(B67,'Commission Rates'!$A:$C,3,FALSE),0)</f>
        <v>0</v>
      </c>
      <c r="F67" s="8" t="str">
        <f>IF(B67="","",D67*E67)</f>
        <v/>
      </c>
      <c r="H67" t="str">
        <f>IF(A67="","",WEEKNUM(A67,1))</f>
        <v/>
      </c>
      <c r="I67" t="str">
        <f>IFERROR(INDEX('Pay Calendar'!$B$2:$B$10,MATCH(H67,'Pay Calendar'!$A$2:$A$10,0)),"")</f>
        <v/>
      </c>
    </row>
    <row r="68" spans="1:9" x14ac:dyDescent="0.2">
      <c r="A68" s="7"/>
      <c r="C68" t="str">
        <f>IFERROR(VLOOKUP(B68,'Commission Rates'!$A:$C,2,FALSE),"")</f>
        <v/>
      </c>
      <c r="E68" s="8">
        <f>IFERROR(VLOOKUP(B68,'Commission Rates'!$A:$C,3,FALSE),0)</f>
        <v>0</v>
      </c>
      <c r="F68" s="8" t="str">
        <f>IF(B68="","",D68*E68)</f>
        <v/>
      </c>
      <c r="H68" t="str">
        <f>IF(A68="","",WEEKNUM(A68,1))</f>
        <v/>
      </c>
      <c r="I68" t="str">
        <f>IFERROR(INDEX('Pay Calendar'!$B$2:$B$10,MATCH(H68,'Pay Calendar'!$A$2:$A$10,0)),"")</f>
        <v/>
      </c>
    </row>
    <row r="69" spans="1:9" x14ac:dyDescent="0.2">
      <c r="A69" s="7"/>
      <c r="C69" t="str">
        <f>IFERROR(VLOOKUP(B69,'Commission Rates'!$A:$C,2,FALSE),"")</f>
        <v/>
      </c>
      <c r="E69" s="8">
        <f>IFERROR(VLOOKUP(B69,'Commission Rates'!$A:$C,3,FALSE),0)</f>
        <v>0</v>
      </c>
      <c r="F69" s="8" t="str">
        <f>IF(B69="","",D69*E69)</f>
        <v/>
      </c>
      <c r="H69" t="str">
        <f>IF(A69="","",WEEKNUM(A69,1))</f>
        <v/>
      </c>
      <c r="I69" t="str">
        <f>IFERROR(INDEX('Pay Calendar'!$B$2:$B$10,MATCH(H69,'Pay Calendar'!$A$2:$A$10,0)),"")</f>
        <v/>
      </c>
    </row>
    <row r="70" spans="1:9" x14ac:dyDescent="0.2">
      <c r="A70" s="7"/>
      <c r="C70" t="str">
        <f>IFERROR(VLOOKUP(B70,'Commission Rates'!$A:$C,2,FALSE),"")</f>
        <v/>
      </c>
      <c r="E70" s="8">
        <f>IFERROR(VLOOKUP(B70,'Commission Rates'!$A:$C,3,FALSE),0)</f>
        <v>0</v>
      </c>
      <c r="F70" s="8" t="str">
        <f>IF(B70="","",D70*E70)</f>
        <v/>
      </c>
      <c r="H70" t="str">
        <f>IF(A70="","",WEEKNUM(A70,1))</f>
        <v/>
      </c>
      <c r="I70" t="str">
        <f>IFERROR(INDEX('Pay Calendar'!$B$2:$B$10,MATCH(H70,'Pay Calendar'!$A$2:$A$10,0)),"")</f>
        <v/>
      </c>
    </row>
    <row r="71" spans="1:9" x14ac:dyDescent="0.2">
      <c r="A71" s="7"/>
      <c r="C71" t="str">
        <f>IFERROR(VLOOKUP(B71,'Commission Rates'!$A:$C,2,FALSE),"")</f>
        <v/>
      </c>
      <c r="E71" s="8">
        <f>IFERROR(VLOOKUP(B71,'Commission Rates'!$A:$C,3,FALSE),0)</f>
        <v>0</v>
      </c>
      <c r="F71" s="8" t="str">
        <f>IF(B71="","",D71*E71)</f>
        <v/>
      </c>
      <c r="H71" t="str">
        <f>IF(A71="","",WEEKNUM(A71,1))</f>
        <v/>
      </c>
      <c r="I71" t="str">
        <f>IFERROR(INDEX('Pay Calendar'!$B$2:$B$10,MATCH(H71,'Pay Calendar'!$A$2:$A$10,0)),"")</f>
        <v/>
      </c>
    </row>
    <row r="72" spans="1:9" x14ac:dyDescent="0.2">
      <c r="A72" s="7"/>
      <c r="C72" t="str">
        <f>IFERROR(VLOOKUP(B72,'Commission Rates'!$A:$C,2,FALSE),"")</f>
        <v/>
      </c>
      <c r="E72" s="8">
        <f>IFERROR(VLOOKUP(B72,'Commission Rates'!$A:$C,3,FALSE),0)</f>
        <v>0</v>
      </c>
      <c r="F72" s="8" t="str">
        <f>IF(B72="","",D72*E72)</f>
        <v/>
      </c>
      <c r="H72" t="str">
        <f>IF(A72="","",WEEKNUM(A72,1))</f>
        <v/>
      </c>
      <c r="I72" t="str">
        <f>IFERROR(INDEX('Pay Calendar'!$B$2:$B$10,MATCH(H72,'Pay Calendar'!$A$2:$A$10,0)),"")</f>
        <v/>
      </c>
    </row>
    <row r="73" spans="1:9" x14ac:dyDescent="0.2">
      <c r="A73" s="7"/>
      <c r="C73" t="str">
        <f>IFERROR(VLOOKUP(B73,'Commission Rates'!$A:$C,2,FALSE),"")</f>
        <v/>
      </c>
      <c r="E73" s="8">
        <f>IFERROR(VLOOKUP(B73,'Commission Rates'!$A:$C,3,FALSE),0)</f>
        <v>0</v>
      </c>
      <c r="F73" s="8" t="str">
        <f>IF(B73="","",D73*E73)</f>
        <v/>
      </c>
      <c r="H73" t="str">
        <f>IF(A73="","",WEEKNUM(A73,1))</f>
        <v/>
      </c>
      <c r="I73" t="str">
        <f>IFERROR(INDEX('Pay Calendar'!$B$2:$B$10,MATCH(H73,'Pay Calendar'!$A$2:$A$10,0)),"")</f>
        <v/>
      </c>
    </row>
    <row r="74" spans="1:9" x14ac:dyDescent="0.2">
      <c r="A74" s="7"/>
      <c r="C74" t="str">
        <f>IFERROR(VLOOKUP(B74,'Commission Rates'!$A:$C,2,FALSE),"")</f>
        <v/>
      </c>
      <c r="E74" s="8">
        <f>IFERROR(VLOOKUP(B74,'Commission Rates'!$A:$C,3,FALSE),0)</f>
        <v>0</v>
      </c>
      <c r="F74" s="8" t="str">
        <f>IF(B74="","",D74*E74)</f>
        <v/>
      </c>
      <c r="H74" t="str">
        <f>IF(A74="","",WEEKNUM(A74,1))</f>
        <v/>
      </c>
      <c r="I74" t="str">
        <f>IFERROR(INDEX('Pay Calendar'!$B$2:$B$10,MATCH(H74,'Pay Calendar'!$A$2:$A$10,0)),"")</f>
        <v/>
      </c>
    </row>
    <row r="75" spans="1:9" x14ac:dyDescent="0.2">
      <c r="A75" s="7"/>
      <c r="C75" t="str">
        <f>IFERROR(VLOOKUP(B75,'Commission Rates'!$A:$C,2,FALSE),"")</f>
        <v/>
      </c>
      <c r="E75" s="8">
        <f>IFERROR(VLOOKUP(B75,'Commission Rates'!$A:$C,3,FALSE),0)</f>
        <v>0</v>
      </c>
      <c r="F75" s="8" t="str">
        <f>IF(B75="","",D75*E75)</f>
        <v/>
      </c>
      <c r="H75" t="str">
        <f>IF(A75="","",WEEKNUM(A75,1))</f>
        <v/>
      </c>
      <c r="I75" t="str">
        <f>IFERROR(INDEX('Pay Calendar'!$B$2:$B$10,MATCH(H75,'Pay Calendar'!$A$2:$A$10,0)),"")</f>
        <v/>
      </c>
    </row>
    <row r="76" spans="1:9" x14ac:dyDescent="0.2">
      <c r="A76" s="7"/>
      <c r="C76" t="str">
        <f>IFERROR(VLOOKUP(B76,'Commission Rates'!$A:$C,2,FALSE),"")</f>
        <v/>
      </c>
      <c r="E76" s="8">
        <f>IFERROR(VLOOKUP(B76,'Commission Rates'!$A:$C,3,FALSE),0)</f>
        <v>0</v>
      </c>
      <c r="F76" s="8" t="str">
        <f>IF(B76="","",D76*E76)</f>
        <v/>
      </c>
      <c r="H76" t="str">
        <f>IF(A76="","",WEEKNUM(A76,1))</f>
        <v/>
      </c>
      <c r="I76" t="str">
        <f>IFERROR(INDEX('Pay Calendar'!$B$2:$B$10,MATCH(H76,'Pay Calendar'!$A$2:$A$10,0)),"")</f>
        <v/>
      </c>
    </row>
    <row r="77" spans="1:9" x14ac:dyDescent="0.2">
      <c r="A77" s="7"/>
      <c r="C77" t="str">
        <f>IFERROR(VLOOKUP(B77,'Commission Rates'!$A:$C,2,FALSE),"")</f>
        <v/>
      </c>
      <c r="E77" s="8">
        <f>IFERROR(VLOOKUP(B77,'Commission Rates'!$A:$C,3,FALSE),0)</f>
        <v>0</v>
      </c>
      <c r="F77" s="8" t="str">
        <f>IF(B77="","",D77*E77)</f>
        <v/>
      </c>
      <c r="H77" t="str">
        <f>IF(A77="","",WEEKNUM(A77,1))</f>
        <v/>
      </c>
      <c r="I77" t="str">
        <f>IFERROR(INDEX('Pay Calendar'!$B$2:$B$10,MATCH(H77,'Pay Calendar'!$A$2:$A$10,0)),"")</f>
        <v/>
      </c>
    </row>
    <row r="78" spans="1:9" x14ac:dyDescent="0.2">
      <c r="A78" s="7"/>
      <c r="C78" t="str">
        <f>IFERROR(VLOOKUP(B78,'Commission Rates'!$A:$C,2,FALSE),"")</f>
        <v/>
      </c>
      <c r="E78" s="8">
        <f>IFERROR(VLOOKUP(B78,'Commission Rates'!$A:$C,3,FALSE),0)</f>
        <v>0</v>
      </c>
      <c r="F78" s="8" t="str">
        <f>IF(B78="","",D78*E78)</f>
        <v/>
      </c>
      <c r="H78" t="str">
        <f>IF(A78="","",WEEKNUM(A78,1))</f>
        <v/>
      </c>
      <c r="I78" t="str">
        <f>IFERROR(INDEX('Pay Calendar'!$B$2:$B$10,MATCH(H78,'Pay Calendar'!$A$2:$A$10,0)),"")</f>
        <v/>
      </c>
    </row>
    <row r="79" spans="1:9" x14ac:dyDescent="0.2">
      <c r="A79" s="7"/>
      <c r="C79" t="str">
        <f>IFERROR(VLOOKUP(B79,'Commission Rates'!$A:$C,2,FALSE),"")</f>
        <v/>
      </c>
      <c r="E79" s="8">
        <f>IFERROR(VLOOKUP(B79,'Commission Rates'!$A:$C,3,FALSE),0)</f>
        <v>0</v>
      </c>
      <c r="F79" s="8" t="str">
        <f>IF(B79="","",D79*E79)</f>
        <v/>
      </c>
      <c r="H79" t="str">
        <f>IF(A79="","",WEEKNUM(A79,1))</f>
        <v/>
      </c>
      <c r="I79" t="str">
        <f>IFERROR(INDEX('Pay Calendar'!$B$2:$B$10,MATCH(H79,'Pay Calendar'!$A$2:$A$10,0)),"")</f>
        <v/>
      </c>
    </row>
    <row r="80" spans="1:9" x14ac:dyDescent="0.2">
      <c r="A80" s="7"/>
      <c r="C80" t="str">
        <f>IFERROR(VLOOKUP(B80,'Commission Rates'!$A:$C,2,FALSE),"")</f>
        <v/>
      </c>
      <c r="E80" s="8">
        <f>IFERROR(VLOOKUP(B80,'Commission Rates'!$A:$C,3,FALSE),0)</f>
        <v>0</v>
      </c>
      <c r="F80" s="8" t="str">
        <f>IF(B80="","",D80*E80)</f>
        <v/>
      </c>
      <c r="H80" t="str">
        <f>IF(A80="","",WEEKNUM(A80,1))</f>
        <v/>
      </c>
      <c r="I80" t="str">
        <f>IFERROR(INDEX('Pay Calendar'!$B$2:$B$10,MATCH(H80,'Pay Calendar'!$A$2:$A$10,0)),"")</f>
        <v/>
      </c>
    </row>
    <row r="81" spans="1:9" x14ac:dyDescent="0.2">
      <c r="A81" s="7"/>
      <c r="C81" t="str">
        <f>IFERROR(VLOOKUP(B81,'Commission Rates'!$A:$C,2,FALSE),"")</f>
        <v/>
      </c>
      <c r="E81" s="8">
        <f>IFERROR(VLOOKUP(B81,'Commission Rates'!$A:$C,3,FALSE),0)</f>
        <v>0</v>
      </c>
      <c r="F81" s="8" t="str">
        <f>IF(B81="","",D81*E81)</f>
        <v/>
      </c>
      <c r="H81" t="str">
        <f>IF(A81="","",WEEKNUM(A81,1))</f>
        <v/>
      </c>
      <c r="I81" t="str">
        <f>IFERROR(INDEX('Pay Calendar'!$B$2:$B$10,MATCH(H81,'Pay Calendar'!$A$2:$A$10,0)),"")</f>
        <v/>
      </c>
    </row>
    <row r="82" spans="1:9" x14ac:dyDescent="0.2">
      <c r="A82" s="7"/>
      <c r="C82" t="str">
        <f>IFERROR(VLOOKUP(B82,'Commission Rates'!$A:$C,2,FALSE),"")</f>
        <v/>
      </c>
      <c r="E82" s="8">
        <f>IFERROR(VLOOKUP(B82,'Commission Rates'!$A:$C,3,FALSE),0)</f>
        <v>0</v>
      </c>
      <c r="F82" s="8" t="str">
        <f>IF(B82="","",D82*E82)</f>
        <v/>
      </c>
      <c r="H82" t="str">
        <f>IF(A82="","",WEEKNUM(A82,1))</f>
        <v/>
      </c>
      <c r="I82" t="str">
        <f>IFERROR(INDEX('Pay Calendar'!$B$2:$B$10,MATCH(H82,'Pay Calendar'!$A$2:$A$10,0)),"")</f>
        <v/>
      </c>
    </row>
    <row r="83" spans="1:9" x14ac:dyDescent="0.2">
      <c r="A83" s="7"/>
      <c r="C83" t="str">
        <f>IFERROR(VLOOKUP(B83,'Commission Rates'!$A:$C,2,FALSE),"")</f>
        <v/>
      </c>
      <c r="E83" s="8">
        <f>IFERROR(VLOOKUP(B83,'Commission Rates'!$A:$C,3,FALSE),0)</f>
        <v>0</v>
      </c>
      <c r="F83" s="8" t="str">
        <f>IF(B83="","",D83*E83)</f>
        <v/>
      </c>
      <c r="H83" t="str">
        <f>IF(A83="","",WEEKNUM(A83,1))</f>
        <v/>
      </c>
      <c r="I83" t="str">
        <f>IFERROR(INDEX('Pay Calendar'!$B$2:$B$10,MATCH(H83,'Pay Calendar'!$A$2:$A$10,0)),"")</f>
        <v/>
      </c>
    </row>
    <row r="84" spans="1:9" x14ac:dyDescent="0.2">
      <c r="A84" s="7"/>
      <c r="C84" t="str">
        <f>IFERROR(VLOOKUP(B84,'Commission Rates'!$A:$C,2,FALSE),"")</f>
        <v/>
      </c>
      <c r="E84" s="8">
        <f>IFERROR(VLOOKUP(B84,'Commission Rates'!$A:$C,3,FALSE),0)</f>
        <v>0</v>
      </c>
      <c r="F84" s="8" t="str">
        <f>IF(B84="","",D84*E84)</f>
        <v/>
      </c>
      <c r="H84" t="str">
        <f>IF(A84="","",WEEKNUM(A84,1))</f>
        <v/>
      </c>
      <c r="I84" t="str">
        <f>IFERROR(INDEX('Pay Calendar'!$B$2:$B$10,MATCH(H84,'Pay Calendar'!$A$2:$A$10,0)),"")</f>
        <v/>
      </c>
    </row>
    <row r="85" spans="1:9" x14ac:dyDescent="0.2">
      <c r="A85" s="7"/>
      <c r="C85" t="str">
        <f>IFERROR(VLOOKUP(B85,'Commission Rates'!$A:$C,2,FALSE),"")</f>
        <v/>
      </c>
      <c r="E85" s="8">
        <f>IFERROR(VLOOKUP(B85,'Commission Rates'!$A:$C,3,FALSE),0)</f>
        <v>0</v>
      </c>
      <c r="F85" s="8" t="str">
        <f>IF(B85="","",D85*E85)</f>
        <v/>
      </c>
      <c r="H85" t="str">
        <f>IF(A85="","",WEEKNUM(A85,1))</f>
        <v/>
      </c>
      <c r="I85" t="str">
        <f>IFERROR(INDEX('Pay Calendar'!$B$2:$B$10,MATCH(H85,'Pay Calendar'!$A$2:$A$10,0)),"")</f>
        <v/>
      </c>
    </row>
    <row r="86" spans="1:9" x14ac:dyDescent="0.2">
      <c r="A86" s="7"/>
      <c r="C86" t="str">
        <f>IFERROR(VLOOKUP(B86,'Commission Rates'!$A:$C,2,FALSE),"")</f>
        <v/>
      </c>
      <c r="E86" s="8">
        <f>IFERROR(VLOOKUP(B86,'Commission Rates'!$A:$C,3,FALSE),0)</f>
        <v>0</v>
      </c>
      <c r="F86" s="8" t="str">
        <f>IF(B86="","",D86*E86)</f>
        <v/>
      </c>
      <c r="H86" t="str">
        <f>IF(A86="","",WEEKNUM(A86,1))</f>
        <v/>
      </c>
      <c r="I86" t="str">
        <f>IFERROR(INDEX('Pay Calendar'!$B$2:$B$10,MATCH(H86,'Pay Calendar'!$A$2:$A$10,0)),"")</f>
        <v/>
      </c>
    </row>
    <row r="87" spans="1:9" x14ac:dyDescent="0.2">
      <c r="A87" s="7"/>
      <c r="C87" t="str">
        <f>IFERROR(VLOOKUP(B87,'Commission Rates'!$A:$C,2,FALSE),"")</f>
        <v/>
      </c>
      <c r="E87" s="8">
        <f>IFERROR(VLOOKUP(B87,'Commission Rates'!$A:$C,3,FALSE),0)</f>
        <v>0</v>
      </c>
      <c r="F87" s="8" t="str">
        <f>IF(B87="","",D87*E87)</f>
        <v/>
      </c>
      <c r="H87" t="str">
        <f>IF(A87="","",WEEKNUM(A87,1))</f>
        <v/>
      </c>
      <c r="I87" t="str">
        <f>IFERROR(INDEX('Pay Calendar'!$B$2:$B$10,MATCH(H87,'Pay Calendar'!$A$2:$A$10,0)),"")</f>
        <v/>
      </c>
    </row>
    <row r="88" spans="1:9" x14ac:dyDescent="0.2">
      <c r="A88" s="7"/>
      <c r="C88" t="str">
        <f>IFERROR(VLOOKUP(B88,'Commission Rates'!$A:$C,2,FALSE),"")</f>
        <v/>
      </c>
      <c r="E88" s="8">
        <f>IFERROR(VLOOKUP(B88,'Commission Rates'!$A:$C,3,FALSE),0)</f>
        <v>0</v>
      </c>
      <c r="F88" s="8" t="str">
        <f>IF(B88="","",D88*E88)</f>
        <v/>
      </c>
      <c r="H88" t="str">
        <f>IF(A88="","",WEEKNUM(A88,1))</f>
        <v/>
      </c>
      <c r="I88" t="str">
        <f>IFERROR(INDEX('Pay Calendar'!$B$2:$B$10,MATCH(H88,'Pay Calendar'!$A$2:$A$10,0)),"")</f>
        <v/>
      </c>
    </row>
    <row r="89" spans="1:9" x14ac:dyDescent="0.2">
      <c r="A89" s="7"/>
      <c r="C89" t="str">
        <f>IFERROR(VLOOKUP(B89,'Commission Rates'!$A:$C,2,FALSE),"")</f>
        <v/>
      </c>
      <c r="E89" s="8">
        <f>IFERROR(VLOOKUP(B89,'Commission Rates'!$A:$C,3,FALSE),0)</f>
        <v>0</v>
      </c>
      <c r="F89" s="8" t="str">
        <f>IF(B89="","",D89*E89)</f>
        <v/>
      </c>
      <c r="H89" t="str">
        <f>IF(A89="","",WEEKNUM(A89,1))</f>
        <v/>
      </c>
      <c r="I89" t="str">
        <f>IFERROR(INDEX('Pay Calendar'!$B$2:$B$10,MATCH(H89,'Pay Calendar'!$A$2:$A$10,0)),"")</f>
        <v/>
      </c>
    </row>
    <row r="90" spans="1:9" x14ac:dyDescent="0.2">
      <c r="A90" s="7"/>
      <c r="C90" t="str">
        <f>IFERROR(VLOOKUP(B90,'Commission Rates'!$A:$C,2,FALSE),"")</f>
        <v/>
      </c>
      <c r="E90" s="8">
        <f>IFERROR(VLOOKUP(B90,'Commission Rates'!$A:$C,3,FALSE),0)</f>
        <v>0</v>
      </c>
      <c r="F90" s="8" t="str">
        <f>IF(B90="","",D90*E90)</f>
        <v/>
      </c>
      <c r="H90" t="str">
        <f>IF(A90="","",WEEKNUM(A90,1))</f>
        <v/>
      </c>
      <c r="I90" t="str">
        <f>IFERROR(INDEX('Pay Calendar'!$B$2:$B$10,MATCH(H90,'Pay Calendar'!$A$2:$A$10,0)),"")</f>
        <v/>
      </c>
    </row>
    <row r="91" spans="1:9" x14ac:dyDescent="0.2">
      <c r="A91" s="7"/>
      <c r="C91" t="str">
        <f>IFERROR(VLOOKUP(B91,'Commission Rates'!$A:$C,2,FALSE),"")</f>
        <v/>
      </c>
      <c r="E91" s="8">
        <f>IFERROR(VLOOKUP(B91,'Commission Rates'!$A:$C,3,FALSE),0)</f>
        <v>0</v>
      </c>
      <c r="F91" s="8" t="str">
        <f>IF(B91="","",D91*E91)</f>
        <v/>
      </c>
      <c r="H91" t="str">
        <f>IF(A91="","",WEEKNUM(A91,1))</f>
        <v/>
      </c>
      <c r="I91" t="str">
        <f>IFERROR(INDEX('Pay Calendar'!$B$2:$B$10,MATCH(H91,'Pay Calendar'!$A$2:$A$10,0)),"")</f>
        <v/>
      </c>
    </row>
    <row r="92" spans="1:9" x14ac:dyDescent="0.2">
      <c r="A92" s="7"/>
      <c r="C92" t="str">
        <f>IFERROR(VLOOKUP(B92,'Commission Rates'!$A:$C,2,FALSE),"")</f>
        <v/>
      </c>
      <c r="E92" s="8">
        <f>IFERROR(VLOOKUP(B92,'Commission Rates'!$A:$C,3,FALSE),0)</f>
        <v>0</v>
      </c>
      <c r="F92" s="8" t="str">
        <f>IF(B92="","",D92*E92)</f>
        <v/>
      </c>
      <c r="H92" t="str">
        <f>IF(A92="","",WEEKNUM(A92,1))</f>
        <v/>
      </c>
      <c r="I92" t="str">
        <f>IFERROR(INDEX('Pay Calendar'!$B$2:$B$10,MATCH(H92,'Pay Calendar'!$A$2:$A$10,0)),"")</f>
        <v/>
      </c>
    </row>
    <row r="93" spans="1:9" x14ac:dyDescent="0.2">
      <c r="A93" s="7"/>
      <c r="C93" t="str">
        <f>IFERROR(VLOOKUP(B93,'Commission Rates'!$A:$C,2,FALSE),"")</f>
        <v/>
      </c>
      <c r="E93" s="8">
        <f>IFERROR(VLOOKUP(B93,'Commission Rates'!$A:$C,3,FALSE),0)</f>
        <v>0</v>
      </c>
      <c r="F93" s="8" t="str">
        <f>IF(B93="","",D93*E93)</f>
        <v/>
      </c>
      <c r="H93" t="str">
        <f>IF(A93="","",WEEKNUM(A93,1))</f>
        <v/>
      </c>
      <c r="I93" t="str">
        <f>IFERROR(INDEX('Pay Calendar'!$B$2:$B$10,MATCH(H93,'Pay Calendar'!$A$2:$A$10,0)),"")</f>
        <v/>
      </c>
    </row>
    <row r="94" spans="1:9" x14ac:dyDescent="0.2">
      <c r="A94" s="7"/>
      <c r="C94" t="str">
        <f>IFERROR(VLOOKUP(B94,'Commission Rates'!$A:$C,2,FALSE),"")</f>
        <v/>
      </c>
      <c r="E94" s="8">
        <f>IFERROR(VLOOKUP(B94,'Commission Rates'!$A:$C,3,FALSE),0)</f>
        <v>0</v>
      </c>
      <c r="F94" s="8" t="str">
        <f>IF(B94="","",D94*E94)</f>
        <v/>
      </c>
      <c r="H94" t="str">
        <f>IF(A94="","",WEEKNUM(A94,1))</f>
        <v/>
      </c>
      <c r="I94" t="str">
        <f>IFERROR(INDEX('Pay Calendar'!$B$2:$B$10,MATCH(H94,'Pay Calendar'!$A$2:$A$10,0)),"")</f>
        <v/>
      </c>
    </row>
    <row r="95" spans="1:9" x14ac:dyDescent="0.2">
      <c r="A95" s="7"/>
      <c r="C95" t="str">
        <f>IFERROR(VLOOKUP(B95,'Commission Rates'!$A:$C,2,FALSE),"")</f>
        <v/>
      </c>
      <c r="E95" s="8">
        <f>IFERROR(VLOOKUP(B95,'Commission Rates'!$A:$C,3,FALSE),0)</f>
        <v>0</v>
      </c>
      <c r="F95" s="8" t="str">
        <f>IF(B95="","",D95*E95)</f>
        <v/>
      </c>
      <c r="H95" t="str">
        <f>IF(A95="","",WEEKNUM(A95,1))</f>
        <v/>
      </c>
      <c r="I95" t="str">
        <f>IFERROR(INDEX('Pay Calendar'!$B$2:$B$10,MATCH(H95,'Pay Calendar'!$A$2:$A$10,0)),"")</f>
        <v/>
      </c>
    </row>
    <row r="96" spans="1:9" x14ac:dyDescent="0.2">
      <c r="A96" s="7"/>
      <c r="C96" t="str">
        <f>IFERROR(VLOOKUP(B96,'Commission Rates'!$A:$C,2,FALSE),"")</f>
        <v/>
      </c>
      <c r="E96" s="8">
        <f>IFERROR(VLOOKUP(B96,'Commission Rates'!$A:$C,3,FALSE),0)</f>
        <v>0</v>
      </c>
      <c r="F96" s="8" t="str">
        <f>IF(B96="","",D96*E96)</f>
        <v/>
      </c>
      <c r="H96" t="str">
        <f>IF(A96="","",WEEKNUM(A96,1))</f>
        <v/>
      </c>
      <c r="I96" t="str">
        <f>IFERROR(INDEX('Pay Calendar'!$B$2:$B$10,MATCH(H96,'Pay Calendar'!$A$2:$A$10,0)),"")</f>
        <v/>
      </c>
    </row>
    <row r="97" spans="1:9" x14ac:dyDescent="0.2">
      <c r="A97" s="7"/>
      <c r="C97" t="str">
        <f>IFERROR(VLOOKUP(B97,'Commission Rates'!$A:$C,2,FALSE),"")</f>
        <v/>
      </c>
      <c r="E97" s="8">
        <f>IFERROR(VLOOKUP(B97,'Commission Rates'!$A:$C,3,FALSE),0)</f>
        <v>0</v>
      </c>
      <c r="F97" s="8" t="str">
        <f>IF(B97="","",D97*E97)</f>
        <v/>
      </c>
      <c r="H97" t="str">
        <f>IF(A97="","",WEEKNUM(A97,1))</f>
        <v/>
      </c>
      <c r="I97" t="str">
        <f>IFERROR(INDEX('Pay Calendar'!$B$2:$B$10,MATCH(H97,'Pay Calendar'!$A$2:$A$10,0)),"")</f>
        <v/>
      </c>
    </row>
    <row r="98" spans="1:9" x14ac:dyDescent="0.2">
      <c r="A98" s="7"/>
      <c r="C98" t="str">
        <f>IFERROR(VLOOKUP(B98,'Commission Rates'!$A:$C,2,FALSE),"")</f>
        <v/>
      </c>
      <c r="E98" s="8">
        <f>IFERROR(VLOOKUP(B98,'Commission Rates'!$A:$C,3,FALSE),0)</f>
        <v>0</v>
      </c>
      <c r="F98" s="8" t="str">
        <f>IF(B98="","",D98*E98)</f>
        <v/>
      </c>
      <c r="H98" t="str">
        <f>IF(A98="","",WEEKNUM(A98,1))</f>
        <v/>
      </c>
      <c r="I98" t="str">
        <f>IFERROR(INDEX('Pay Calendar'!$B$2:$B$10,MATCH(H98,'Pay Calendar'!$A$2:$A$10,0)),"")</f>
        <v/>
      </c>
    </row>
    <row r="99" spans="1:9" x14ac:dyDescent="0.2">
      <c r="A99" s="7"/>
      <c r="C99" t="str">
        <f>IFERROR(VLOOKUP(B99,'Commission Rates'!$A:$C,2,FALSE),"")</f>
        <v/>
      </c>
      <c r="E99" s="8">
        <f>IFERROR(VLOOKUP(B99,'Commission Rates'!$A:$C,3,FALSE),0)</f>
        <v>0</v>
      </c>
      <c r="F99" s="8" t="str">
        <f>IF(B99="","",D99*E99)</f>
        <v/>
      </c>
      <c r="H99" t="str">
        <f>IF(A99="","",WEEKNUM(A99,1))</f>
        <v/>
      </c>
      <c r="I99" t="str">
        <f>IFERROR(INDEX('Pay Calendar'!$B$2:$B$10,MATCH(H99,'Pay Calendar'!$A$2:$A$10,0)),"")</f>
        <v/>
      </c>
    </row>
    <row r="100" spans="1:9" x14ac:dyDescent="0.2">
      <c r="A100" s="7"/>
      <c r="C100" t="str">
        <f>IFERROR(VLOOKUP(B100,'Commission Rates'!$A:$C,2,FALSE),"")</f>
        <v/>
      </c>
      <c r="E100" s="8">
        <f>IFERROR(VLOOKUP(B100,'Commission Rates'!$A:$C,3,FALSE),0)</f>
        <v>0</v>
      </c>
      <c r="F100" s="8" t="str">
        <f>IF(B100="","",D100*E100)</f>
        <v/>
      </c>
      <c r="H100" t="str">
        <f>IF(A100="","",WEEKNUM(A100,1))</f>
        <v/>
      </c>
      <c r="I100" t="str">
        <f>IFERROR(INDEX('Pay Calendar'!$B$2:$B$10,MATCH(H100,'Pay Calendar'!$A$2:$A$10,0)),"")</f>
        <v/>
      </c>
    </row>
    <row r="101" spans="1:9" x14ac:dyDescent="0.2">
      <c r="A101" s="7"/>
      <c r="C101" t="str">
        <f>IFERROR(VLOOKUP(B101,'Commission Rates'!$A:$C,2,FALSE),"")</f>
        <v/>
      </c>
      <c r="E101" s="8">
        <f>IFERROR(VLOOKUP(B101,'Commission Rates'!$A:$C,3,FALSE),0)</f>
        <v>0</v>
      </c>
      <c r="F101" s="8" t="str">
        <f>IF(B101="","",D101*E101)</f>
        <v/>
      </c>
      <c r="H101" t="str">
        <f>IF(A101="","",WEEKNUM(A101,1))</f>
        <v/>
      </c>
      <c r="I101" t="str">
        <f>IFERROR(INDEX('Pay Calendar'!$B$2:$B$10,MATCH(H101,'Pay Calendar'!$A$2:$A$10,0)),"")</f>
        <v/>
      </c>
    </row>
    <row r="102" spans="1:9" x14ac:dyDescent="0.2">
      <c r="A102" s="7"/>
      <c r="C102" t="str">
        <f>IFERROR(VLOOKUP(B102,'Commission Rates'!$A:$C,2,FALSE),"")</f>
        <v/>
      </c>
      <c r="E102" s="8">
        <f>IFERROR(VLOOKUP(B102,'Commission Rates'!$A:$C,3,FALSE),0)</f>
        <v>0</v>
      </c>
      <c r="F102" s="8" t="str">
        <f>IF(B102="","",D102*E102)</f>
        <v/>
      </c>
      <c r="H102" t="str">
        <f>IF(A102="","",WEEKNUM(A102,1))</f>
        <v/>
      </c>
      <c r="I102" t="str">
        <f>IFERROR(INDEX('Pay Calendar'!$B$2:$B$10,MATCH(H102,'Pay Calendar'!$A$2:$A$10,0)),"")</f>
        <v/>
      </c>
    </row>
    <row r="103" spans="1:9" x14ac:dyDescent="0.2">
      <c r="A103" s="7"/>
      <c r="C103" t="str">
        <f>IFERROR(VLOOKUP(B103,'Commission Rates'!$A:$C,2,FALSE),"")</f>
        <v/>
      </c>
      <c r="E103" s="8">
        <f>IFERROR(VLOOKUP(B103,'Commission Rates'!$A:$C,3,FALSE),0)</f>
        <v>0</v>
      </c>
      <c r="F103" s="8" t="str">
        <f>IF(B103="","",D103*E103)</f>
        <v/>
      </c>
      <c r="H103" t="str">
        <f>IF(A103="","",WEEKNUM(A103,1))</f>
        <v/>
      </c>
      <c r="I103" t="str">
        <f>IFERROR(INDEX('Pay Calendar'!$B$2:$B$10,MATCH(H103,'Pay Calendar'!$A$2:$A$10,0)),"")</f>
        <v/>
      </c>
    </row>
    <row r="104" spans="1:9" x14ac:dyDescent="0.2">
      <c r="A104" s="7"/>
      <c r="C104" t="str">
        <f>IFERROR(VLOOKUP(B104,'Commission Rates'!$A:$C,2,FALSE),"")</f>
        <v/>
      </c>
      <c r="E104" s="8">
        <f>IFERROR(VLOOKUP(B104,'Commission Rates'!$A:$C,3,FALSE),0)</f>
        <v>0</v>
      </c>
      <c r="F104" s="8" t="str">
        <f>IF(B104="","",D104*E104)</f>
        <v/>
      </c>
      <c r="H104" t="str">
        <f>IF(A104="","",WEEKNUM(A104,1))</f>
        <v/>
      </c>
      <c r="I104" t="str">
        <f>IFERROR(INDEX('Pay Calendar'!$B$2:$B$10,MATCH(H104,'Pay Calendar'!$A$2:$A$10,0)),"")</f>
        <v/>
      </c>
    </row>
    <row r="105" spans="1:9" x14ac:dyDescent="0.2">
      <c r="A105" s="7"/>
      <c r="C105" t="str">
        <f>IFERROR(VLOOKUP(B105,'Commission Rates'!$A:$C,2,FALSE),"")</f>
        <v/>
      </c>
      <c r="E105" s="8">
        <f>IFERROR(VLOOKUP(B105,'Commission Rates'!$A:$C,3,FALSE),0)</f>
        <v>0</v>
      </c>
      <c r="F105" s="8" t="str">
        <f>IF(B105="","",D105*E105)</f>
        <v/>
      </c>
      <c r="H105" t="str">
        <f>IF(A105="","",WEEKNUM(A105,1))</f>
        <v/>
      </c>
      <c r="I105" t="str">
        <f>IFERROR(INDEX('Pay Calendar'!$B$2:$B$10,MATCH(H105,'Pay Calendar'!$A$2:$A$10,0)),"")</f>
        <v/>
      </c>
    </row>
    <row r="106" spans="1:9" x14ac:dyDescent="0.2">
      <c r="A106" s="7"/>
      <c r="C106" t="str">
        <f>IFERROR(VLOOKUP(B106,'Commission Rates'!$A:$C,2,FALSE),"")</f>
        <v/>
      </c>
      <c r="E106" s="8">
        <f>IFERROR(VLOOKUP(B106,'Commission Rates'!$A:$C,3,FALSE),0)</f>
        <v>0</v>
      </c>
      <c r="F106" s="8" t="str">
        <f>IF(B106="","",D106*E106)</f>
        <v/>
      </c>
      <c r="H106" t="str">
        <f>IF(A106="","",WEEKNUM(A106,1))</f>
        <v/>
      </c>
      <c r="I106" t="str">
        <f>IFERROR(INDEX('Pay Calendar'!$B$2:$B$10,MATCH(H106,'Pay Calendar'!$A$2:$A$10,0)),"")</f>
        <v/>
      </c>
    </row>
    <row r="107" spans="1:9" x14ac:dyDescent="0.2">
      <c r="A107" s="7"/>
      <c r="C107" t="str">
        <f>IFERROR(VLOOKUP(B107,'Commission Rates'!$A:$C,2,FALSE),"")</f>
        <v/>
      </c>
      <c r="E107" s="8">
        <f>IFERROR(VLOOKUP(B107,'Commission Rates'!$A:$C,3,FALSE),0)</f>
        <v>0</v>
      </c>
      <c r="F107" s="8" t="str">
        <f>IF(B107="","",D107*E107)</f>
        <v/>
      </c>
      <c r="H107" t="str">
        <f>IF(A107="","",WEEKNUM(A107,1))</f>
        <v/>
      </c>
      <c r="I107" t="str">
        <f>IFERROR(INDEX('Pay Calendar'!$B$2:$B$10,MATCH(H107,'Pay Calendar'!$A$2:$A$10,0)),"")</f>
        <v/>
      </c>
    </row>
    <row r="108" spans="1:9" x14ac:dyDescent="0.2">
      <c r="A108" s="7"/>
      <c r="C108" t="str">
        <f>IFERROR(VLOOKUP(B108,'Commission Rates'!$A:$C,2,FALSE),"")</f>
        <v/>
      </c>
      <c r="E108" s="8">
        <f>IFERROR(VLOOKUP(B108,'Commission Rates'!$A:$C,3,FALSE),0)</f>
        <v>0</v>
      </c>
      <c r="F108" s="8" t="str">
        <f>IF(B108="","",D108*E108)</f>
        <v/>
      </c>
      <c r="H108" t="str">
        <f>IF(A108="","",WEEKNUM(A108,1))</f>
        <v/>
      </c>
      <c r="I108" t="str">
        <f>IFERROR(INDEX('Pay Calendar'!$B$2:$B$10,MATCH(H108,'Pay Calendar'!$A$2:$A$10,0)),"")</f>
        <v/>
      </c>
    </row>
    <row r="109" spans="1:9" x14ac:dyDescent="0.2">
      <c r="A109" s="7"/>
      <c r="C109" t="str">
        <f>IFERROR(VLOOKUP(B109,'Commission Rates'!$A:$C,2,FALSE),"")</f>
        <v/>
      </c>
      <c r="E109" s="8">
        <f>IFERROR(VLOOKUP(B109,'Commission Rates'!$A:$C,3,FALSE),0)</f>
        <v>0</v>
      </c>
      <c r="F109" s="8" t="str">
        <f>IF(B109="","",D109*E109)</f>
        <v/>
      </c>
      <c r="H109" t="str">
        <f>IF(A109="","",WEEKNUM(A109,1))</f>
        <v/>
      </c>
      <c r="I109" t="str">
        <f>IFERROR(INDEX('Pay Calendar'!$B$2:$B$10,MATCH(H109,'Pay Calendar'!$A$2:$A$10,0)),"")</f>
        <v/>
      </c>
    </row>
    <row r="110" spans="1:9" x14ac:dyDescent="0.2">
      <c r="A110" s="7"/>
      <c r="C110" t="str">
        <f>IFERROR(VLOOKUP(B110,'Commission Rates'!$A:$C,2,FALSE),"")</f>
        <v/>
      </c>
      <c r="E110" s="8">
        <f>IFERROR(VLOOKUP(B110,'Commission Rates'!$A:$C,3,FALSE),0)</f>
        <v>0</v>
      </c>
      <c r="F110" s="8" t="str">
        <f>IF(B110="","",D110*E110)</f>
        <v/>
      </c>
      <c r="H110" t="str">
        <f>IF(A110="","",WEEKNUM(A110,1))</f>
        <v/>
      </c>
      <c r="I110" t="str">
        <f>IFERROR(INDEX('Pay Calendar'!$B$2:$B$10,MATCH(H110,'Pay Calendar'!$A$2:$A$10,0)),"")</f>
        <v/>
      </c>
    </row>
    <row r="111" spans="1:9" x14ac:dyDescent="0.2">
      <c r="A111" s="7"/>
      <c r="C111" t="str">
        <f>IFERROR(VLOOKUP(B111,'Commission Rates'!$A:$C,2,FALSE),"")</f>
        <v/>
      </c>
      <c r="E111" s="8">
        <f>IFERROR(VLOOKUP(B111,'Commission Rates'!$A:$C,3,FALSE),0)</f>
        <v>0</v>
      </c>
      <c r="F111" s="8" t="str">
        <f>IF(B111="","",D111*E111)</f>
        <v/>
      </c>
      <c r="H111" t="str">
        <f>IF(A111="","",WEEKNUM(A111,1))</f>
        <v/>
      </c>
      <c r="I111" t="str">
        <f>IFERROR(INDEX('Pay Calendar'!$B$2:$B$10,MATCH(H111,'Pay Calendar'!$A$2:$A$10,0)),"")</f>
        <v/>
      </c>
    </row>
    <row r="112" spans="1:9" x14ac:dyDescent="0.2">
      <c r="A112" s="7"/>
      <c r="C112" t="str">
        <f>IFERROR(VLOOKUP(B112,'Commission Rates'!$A:$C,2,FALSE),"")</f>
        <v/>
      </c>
      <c r="E112" s="8">
        <f>IFERROR(VLOOKUP(B112,'Commission Rates'!$A:$C,3,FALSE),0)</f>
        <v>0</v>
      </c>
      <c r="F112" s="8" t="str">
        <f>IF(B112="","",D112*E112)</f>
        <v/>
      </c>
      <c r="H112" t="str">
        <f>IF(A112="","",WEEKNUM(A112,1))</f>
        <v/>
      </c>
      <c r="I112" t="str">
        <f>IFERROR(INDEX('Pay Calendar'!$B$2:$B$10,MATCH(H112,'Pay Calendar'!$A$2:$A$10,0)),"")</f>
        <v/>
      </c>
    </row>
    <row r="113" spans="1:9" x14ac:dyDescent="0.2">
      <c r="A113" s="7"/>
      <c r="C113" t="str">
        <f>IFERROR(VLOOKUP(B113,'Commission Rates'!$A:$C,2,FALSE),"")</f>
        <v/>
      </c>
      <c r="E113" s="8">
        <f>IFERROR(VLOOKUP(B113,'Commission Rates'!$A:$C,3,FALSE),0)</f>
        <v>0</v>
      </c>
      <c r="F113" s="8" t="str">
        <f>IF(B113="","",D113*E113)</f>
        <v/>
      </c>
      <c r="H113" t="str">
        <f>IF(A113="","",WEEKNUM(A113,1))</f>
        <v/>
      </c>
      <c r="I113" t="str">
        <f>IFERROR(INDEX('Pay Calendar'!$B$2:$B$10,MATCH(H113,'Pay Calendar'!$A$2:$A$10,0)),"")</f>
        <v/>
      </c>
    </row>
    <row r="114" spans="1:9" x14ac:dyDescent="0.2">
      <c r="A114" s="7"/>
      <c r="C114" t="str">
        <f>IFERROR(VLOOKUP(B114,'Commission Rates'!$A:$C,2,FALSE),"")</f>
        <v/>
      </c>
      <c r="E114" s="8">
        <f>IFERROR(VLOOKUP(B114,'Commission Rates'!$A:$C,3,FALSE),0)</f>
        <v>0</v>
      </c>
      <c r="F114" s="8" t="str">
        <f>IF(B114="","",D114*E114)</f>
        <v/>
      </c>
      <c r="H114" t="str">
        <f>IF(A114="","",WEEKNUM(A114,1))</f>
        <v/>
      </c>
      <c r="I114" t="str">
        <f>IFERROR(INDEX('Pay Calendar'!$B$2:$B$10,MATCH(H114,'Pay Calendar'!$A$2:$A$10,0)),"")</f>
        <v/>
      </c>
    </row>
    <row r="115" spans="1:9" x14ac:dyDescent="0.2">
      <c r="A115" s="7"/>
      <c r="C115" t="str">
        <f>IFERROR(VLOOKUP(B115,'Commission Rates'!$A:$C,2,FALSE),"")</f>
        <v/>
      </c>
      <c r="E115" s="8">
        <f>IFERROR(VLOOKUP(B115,'Commission Rates'!$A:$C,3,FALSE),0)</f>
        <v>0</v>
      </c>
      <c r="F115" s="8" t="str">
        <f>IF(B115="","",D115*E115)</f>
        <v/>
      </c>
      <c r="H115" t="str">
        <f>IF(A115="","",WEEKNUM(A115,1))</f>
        <v/>
      </c>
      <c r="I115" t="str">
        <f>IFERROR(INDEX('Pay Calendar'!$B$2:$B$10,MATCH(H115,'Pay Calendar'!$A$2:$A$10,0)),"")</f>
        <v/>
      </c>
    </row>
    <row r="116" spans="1:9" x14ac:dyDescent="0.2">
      <c r="A116" s="7"/>
      <c r="C116" t="str">
        <f>IFERROR(VLOOKUP(B116,'Commission Rates'!$A:$C,2,FALSE),"")</f>
        <v/>
      </c>
      <c r="E116" s="8">
        <f>IFERROR(VLOOKUP(B116,'Commission Rates'!$A:$C,3,FALSE),0)</f>
        <v>0</v>
      </c>
      <c r="F116" s="8" t="str">
        <f>IF(B116="","",D116*E116)</f>
        <v/>
      </c>
      <c r="H116" t="str">
        <f>IF(A116="","",WEEKNUM(A116,1))</f>
        <v/>
      </c>
      <c r="I116" t="str">
        <f>IFERROR(INDEX('Pay Calendar'!$B$2:$B$10,MATCH(H116,'Pay Calendar'!$A$2:$A$10,0)),"")</f>
        <v/>
      </c>
    </row>
    <row r="117" spans="1:9" x14ac:dyDescent="0.2">
      <c r="A117" s="7"/>
      <c r="C117" t="str">
        <f>IFERROR(VLOOKUP(B117,'Commission Rates'!$A:$C,2,FALSE),"")</f>
        <v/>
      </c>
      <c r="E117" s="8">
        <f>IFERROR(VLOOKUP(B117,'Commission Rates'!$A:$C,3,FALSE),0)</f>
        <v>0</v>
      </c>
      <c r="F117" s="8" t="str">
        <f>IF(B117="","",D117*E117)</f>
        <v/>
      </c>
      <c r="H117" t="str">
        <f>IF(A117="","",WEEKNUM(A117,1))</f>
        <v/>
      </c>
      <c r="I117" t="str">
        <f>IFERROR(INDEX('Pay Calendar'!$B$2:$B$10,MATCH(H117,'Pay Calendar'!$A$2:$A$10,0)),"")</f>
        <v/>
      </c>
    </row>
    <row r="118" spans="1:9" x14ac:dyDescent="0.2">
      <c r="A118" s="7"/>
      <c r="C118" t="str">
        <f>IFERROR(VLOOKUP(B118,'Commission Rates'!$A:$C,2,FALSE),"")</f>
        <v/>
      </c>
      <c r="E118" s="8">
        <f>IFERROR(VLOOKUP(B118,'Commission Rates'!$A:$C,3,FALSE),0)</f>
        <v>0</v>
      </c>
      <c r="F118" s="8" t="str">
        <f>IF(B118="","",D118*E118)</f>
        <v/>
      </c>
      <c r="H118" t="str">
        <f>IF(A118="","",WEEKNUM(A118,1))</f>
        <v/>
      </c>
      <c r="I118" t="str">
        <f>IFERROR(INDEX('Pay Calendar'!$B$2:$B$10,MATCH(H118,'Pay Calendar'!$A$2:$A$10,0)),"")</f>
        <v/>
      </c>
    </row>
    <row r="119" spans="1:9" x14ac:dyDescent="0.2">
      <c r="A119" s="7"/>
      <c r="C119" t="str">
        <f>IFERROR(VLOOKUP(B119,'Commission Rates'!$A:$C,2,FALSE),"")</f>
        <v/>
      </c>
      <c r="E119" s="8">
        <f>IFERROR(VLOOKUP(B119,'Commission Rates'!$A:$C,3,FALSE),0)</f>
        <v>0</v>
      </c>
      <c r="F119" s="8" t="str">
        <f>IF(B119="","",D119*E119)</f>
        <v/>
      </c>
      <c r="H119" t="str">
        <f>IF(A119="","",WEEKNUM(A119,1))</f>
        <v/>
      </c>
      <c r="I119" t="str">
        <f>IFERROR(INDEX('Pay Calendar'!$B$2:$B$10,MATCH(H119,'Pay Calendar'!$A$2:$A$10,0)),"")</f>
        <v/>
      </c>
    </row>
    <row r="120" spans="1:9" x14ac:dyDescent="0.2">
      <c r="A120" s="7"/>
      <c r="C120" t="str">
        <f>IFERROR(VLOOKUP(B120,'Commission Rates'!$A:$C,2,FALSE),"")</f>
        <v/>
      </c>
      <c r="E120" s="8">
        <f>IFERROR(VLOOKUP(B120,'Commission Rates'!$A:$C,3,FALSE),0)</f>
        <v>0</v>
      </c>
      <c r="F120" s="8" t="str">
        <f>IF(B120="","",D120*E120)</f>
        <v/>
      </c>
      <c r="H120" t="str">
        <f>IF(A120="","",WEEKNUM(A120,1))</f>
        <v/>
      </c>
      <c r="I120" t="str">
        <f>IFERROR(INDEX('Pay Calendar'!$B$2:$B$10,MATCH(H120,'Pay Calendar'!$A$2:$A$10,0)),"")</f>
        <v/>
      </c>
    </row>
    <row r="121" spans="1:9" x14ac:dyDescent="0.2">
      <c r="A121" s="7"/>
      <c r="C121" t="str">
        <f>IFERROR(VLOOKUP(B121,'Commission Rates'!$A:$C,2,FALSE),"")</f>
        <v/>
      </c>
      <c r="E121" s="8">
        <f>IFERROR(VLOOKUP(B121,'Commission Rates'!$A:$C,3,FALSE),0)</f>
        <v>0</v>
      </c>
      <c r="F121" s="8" t="str">
        <f>IF(B121="","",D121*E121)</f>
        <v/>
      </c>
      <c r="H121" t="str">
        <f>IF(A121="","",WEEKNUM(A121,1))</f>
        <v/>
      </c>
      <c r="I121" t="str">
        <f>IFERROR(INDEX('Pay Calendar'!$B$2:$B$10,MATCH(H121,'Pay Calendar'!$A$2:$A$10,0)),"")</f>
        <v/>
      </c>
    </row>
    <row r="122" spans="1:9" x14ac:dyDescent="0.2">
      <c r="A122" s="7"/>
      <c r="C122" t="str">
        <f>IFERROR(VLOOKUP(B122,'Commission Rates'!$A:$C,2,FALSE),"")</f>
        <v/>
      </c>
      <c r="E122" s="8">
        <f>IFERROR(VLOOKUP(B122,'Commission Rates'!$A:$C,3,FALSE),0)</f>
        <v>0</v>
      </c>
      <c r="F122" s="8" t="str">
        <f>IF(B122="","",D122*E122)</f>
        <v/>
      </c>
      <c r="H122" t="str">
        <f>IF(A122="","",WEEKNUM(A122,1))</f>
        <v/>
      </c>
      <c r="I122" t="str">
        <f>IFERROR(INDEX('Pay Calendar'!$B$2:$B$10,MATCH(H122,'Pay Calendar'!$A$2:$A$10,0)),"")</f>
        <v/>
      </c>
    </row>
    <row r="123" spans="1:9" x14ac:dyDescent="0.2">
      <c r="A123" s="7"/>
      <c r="C123" t="str">
        <f>IFERROR(VLOOKUP(B123,'Commission Rates'!$A:$C,2,FALSE),"")</f>
        <v/>
      </c>
      <c r="E123" s="8">
        <f>IFERROR(VLOOKUP(B123,'Commission Rates'!$A:$C,3,FALSE),0)</f>
        <v>0</v>
      </c>
      <c r="F123" s="8" t="str">
        <f>IF(B123="","",D123*E123)</f>
        <v/>
      </c>
      <c r="H123" t="str">
        <f>IF(A123="","",WEEKNUM(A123,1))</f>
        <v/>
      </c>
      <c r="I123" t="str">
        <f>IFERROR(INDEX('Pay Calendar'!$B$2:$B$10,MATCH(H123,'Pay Calendar'!$A$2:$A$10,0)),"")</f>
        <v/>
      </c>
    </row>
    <row r="124" spans="1:9" x14ac:dyDescent="0.2">
      <c r="A124" s="7"/>
      <c r="C124" t="str">
        <f>IFERROR(VLOOKUP(B124,'Commission Rates'!$A:$C,2,FALSE),"")</f>
        <v/>
      </c>
      <c r="E124" s="8">
        <f>IFERROR(VLOOKUP(B124,'Commission Rates'!$A:$C,3,FALSE),0)</f>
        <v>0</v>
      </c>
      <c r="F124" s="8" t="str">
        <f>IF(B124="","",D124*E124)</f>
        <v/>
      </c>
      <c r="H124" t="str">
        <f>IF(A124="","",WEEKNUM(A124,1))</f>
        <v/>
      </c>
      <c r="I124" t="str">
        <f>IFERROR(INDEX('Pay Calendar'!$B$2:$B$10,MATCH(H124,'Pay Calendar'!$A$2:$A$10,0)),"")</f>
        <v/>
      </c>
    </row>
    <row r="125" spans="1:9" x14ac:dyDescent="0.2">
      <c r="A125" s="7"/>
      <c r="C125" t="str">
        <f>IFERROR(VLOOKUP(B125,'Commission Rates'!$A:$C,2,FALSE),"")</f>
        <v/>
      </c>
      <c r="E125" s="8">
        <f>IFERROR(VLOOKUP(B125,'Commission Rates'!$A:$C,3,FALSE),0)</f>
        <v>0</v>
      </c>
      <c r="F125" s="8" t="str">
        <f>IF(B125="","",D125*E125)</f>
        <v/>
      </c>
      <c r="H125" t="str">
        <f>IF(A125="","",WEEKNUM(A125,1))</f>
        <v/>
      </c>
      <c r="I125" t="str">
        <f>IFERROR(INDEX('Pay Calendar'!$B$2:$B$10,MATCH(H125,'Pay Calendar'!$A$2:$A$10,0)),"")</f>
        <v/>
      </c>
    </row>
    <row r="126" spans="1:9" x14ac:dyDescent="0.2">
      <c r="A126" s="7"/>
      <c r="C126" t="str">
        <f>IFERROR(VLOOKUP(B126,'Commission Rates'!$A:$C,2,FALSE),"")</f>
        <v/>
      </c>
      <c r="E126" s="8">
        <f>IFERROR(VLOOKUP(B126,'Commission Rates'!$A:$C,3,FALSE),0)</f>
        <v>0</v>
      </c>
      <c r="F126" s="8" t="str">
        <f>IF(B126="","",D126*E126)</f>
        <v/>
      </c>
      <c r="H126" t="str">
        <f>IF(A126="","",WEEKNUM(A126,1))</f>
        <v/>
      </c>
      <c r="I126" t="str">
        <f>IFERROR(INDEX('Pay Calendar'!$B$2:$B$10,MATCH(H126,'Pay Calendar'!$A$2:$A$10,0)),"")</f>
        <v/>
      </c>
    </row>
    <row r="127" spans="1:9" x14ac:dyDescent="0.2">
      <c r="A127" s="7"/>
      <c r="C127" t="str">
        <f>IFERROR(VLOOKUP(B127,'Commission Rates'!$A:$C,2,FALSE),"")</f>
        <v/>
      </c>
      <c r="E127" s="8">
        <f>IFERROR(VLOOKUP(B127,'Commission Rates'!$A:$C,3,FALSE),0)</f>
        <v>0</v>
      </c>
      <c r="F127" s="8" t="str">
        <f>IF(B127="","",D127*E127)</f>
        <v/>
      </c>
      <c r="H127" t="str">
        <f>IF(A127="","",WEEKNUM(A127,1))</f>
        <v/>
      </c>
      <c r="I127" t="str">
        <f>IFERROR(INDEX('Pay Calendar'!$B$2:$B$10,MATCH(H127,'Pay Calendar'!$A$2:$A$10,0)),"")</f>
        <v/>
      </c>
    </row>
    <row r="128" spans="1:9" x14ac:dyDescent="0.2">
      <c r="A128" s="7"/>
      <c r="C128" t="str">
        <f>IFERROR(VLOOKUP(B128,'Commission Rates'!$A:$C,2,FALSE),"")</f>
        <v/>
      </c>
      <c r="E128" s="8">
        <f>IFERROR(VLOOKUP(B128,'Commission Rates'!$A:$C,3,FALSE),0)</f>
        <v>0</v>
      </c>
      <c r="F128" s="8" t="str">
        <f>IF(B128="","",D128*E128)</f>
        <v/>
      </c>
      <c r="H128" t="str">
        <f>IF(A128="","",WEEKNUM(A128,1))</f>
        <v/>
      </c>
      <c r="I128" t="str">
        <f>IFERROR(INDEX('Pay Calendar'!$B$2:$B$10,MATCH(H128,'Pay Calendar'!$A$2:$A$10,0)),"")</f>
        <v/>
      </c>
    </row>
    <row r="129" spans="1:9" x14ac:dyDescent="0.2">
      <c r="A129" s="7"/>
      <c r="C129" t="str">
        <f>IFERROR(VLOOKUP(B129,'Commission Rates'!$A:$C,2,FALSE),"")</f>
        <v/>
      </c>
      <c r="E129" s="8">
        <f>IFERROR(VLOOKUP(B129,'Commission Rates'!$A:$C,3,FALSE),0)</f>
        <v>0</v>
      </c>
      <c r="F129" s="8" t="str">
        <f>IF(B129="","",D129*E129)</f>
        <v/>
      </c>
      <c r="H129" t="str">
        <f>IF(A129="","",WEEKNUM(A129,1))</f>
        <v/>
      </c>
      <c r="I129" t="str">
        <f>IFERROR(INDEX('Pay Calendar'!$B$2:$B$10,MATCH(H129,'Pay Calendar'!$A$2:$A$10,0)),"")</f>
        <v/>
      </c>
    </row>
    <row r="130" spans="1:9" x14ac:dyDescent="0.2">
      <c r="A130" s="7"/>
      <c r="C130" t="str">
        <f>IFERROR(VLOOKUP(B130,'Commission Rates'!$A:$C,2,FALSE),"")</f>
        <v/>
      </c>
      <c r="E130" s="8">
        <f>IFERROR(VLOOKUP(B130,'Commission Rates'!$A:$C,3,FALSE),0)</f>
        <v>0</v>
      </c>
      <c r="F130" s="8" t="str">
        <f>IF(B130="","",D130*E130)</f>
        <v/>
      </c>
      <c r="H130" t="str">
        <f>IF(A130="","",WEEKNUM(A130,1))</f>
        <v/>
      </c>
      <c r="I130" t="str">
        <f>IFERROR(INDEX('Pay Calendar'!$B$2:$B$10,MATCH(H130,'Pay Calendar'!$A$2:$A$10,0)),"")</f>
        <v/>
      </c>
    </row>
    <row r="131" spans="1:9" x14ac:dyDescent="0.2">
      <c r="A131" s="7"/>
      <c r="C131" t="str">
        <f>IFERROR(VLOOKUP(B131,'Commission Rates'!$A:$C,2,FALSE),"")</f>
        <v/>
      </c>
      <c r="E131" s="8">
        <f>IFERROR(VLOOKUP(B131,'Commission Rates'!$A:$C,3,FALSE),0)</f>
        <v>0</v>
      </c>
      <c r="F131" s="8" t="str">
        <f>IF(B131="","",D131*E131)</f>
        <v/>
      </c>
      <c r="H131" t="str">
        <f>IF(A131="","",WEEKNUM(A131,1))</f>
        <v/>
      </c>
      <c r="I131" t="str">
        <f>IFERROR(INDEX('Pay Calendar'!$B$2:$B$10,MATCH(H131,'Pay Calendar'!$A$2:$A$10,0)),"")</f>
        <v/>
      </c>
    </row>
    <row r="132" spans="1:9" x14ac:dyDescent="0.2">
      <c r="A132" s="7"/>
      <c r="C132" t="str">
        <f>IFERROR(VLOOKUP(B132,'Commission Rates'!$A:$C,2,FALSE),"")</f>
        <v/>
      </c>
      <c r="E132" s="8">
        <f>IFERROR(VLOOKUP(B132,'Commission Rates'!$A:$C,3,FALSE),0)</f>
        <v>0</v>
      </c>
      <c r="F132" s="8" t="str">
        <f>IF(B132="","",D132*E132)</f>
        <v/>
      </c>
      <c r="H132" t="str">
        <f>IF(A132="","",WEEKNUM(A132,1))</f>
        <v/>
      </c>
      <c r="I132" t="str">
        <f>IFERROR(INDEX('Pay Calendar'!$B$2:$B$10,MATCH(H132,'Pay Calendar'!$A$2:$A$10,0)),"")</f>
        <v/>
      </c>
    </row>
    <row r="133" spans="1:9" x14ac:dyDescent="0.2">
      <c r="A133" s="7"/>
      <c r="C133" t="str">
        <f>IFERROR(VLOOKUP(B133,'Commission Rates'!$A:$C,2,FALSE),"")</f>
        <v/>
      </c>
      <c r="E133" s="8">
        <f>IFERROR(VLOOKUP(B133,'Commission Rates'!$A:$C,3,FALSE),0)</f>
        <v>0</v>
      </c>
      <c r="F133" s="8" t="str">
        <f>IF(B133="","",D133*E133)</f>
        <v/>
      </c>
      <c r="H133" t="str">
        <f>IF(A133="","",WEEKNUM(A133,1))</f>
        <v/>
      </c>
      <c r="I133" t="str">
        <f>IFERROR(INDEX('Pay Calendar'!$B$2:$B$10,MATCH(H133,'Pay Calendar'!$A$2:$A$10,0)),"")</f>
        <v/>
      </c>
    </row>
    <row r="134" spans="1:9" x14ac:dyDescent="0.2">
      <c r="A134" s="7"/>
      <c r="C134" t="str">
        <f>IFERROR(VLOOKUP(B134,'Commission Rates'!$A:$C,2,FALSE),"")</f>
        <v/>
      </c>
      <c r="E134" s="8">
        <f>IFERROR(VLOOKUP(B134,'Commission Rates'!$A:$C,3,FALSE),0)</f>
        <v>0</v>
      </c>
      <c r="F134" s="8" t="str">
        <f>IF(B134="","",D134*E134)</f>
        <v/>
      </c>
      <c r="H134" t="str">
        <f>IF(A134="","",WEEKNUM(A134,1))</f>
        <v/>
      </c>
      <c r="I134" t="str">
        <f>IFERROR(INDEX('Pay Calendar'!$B$2:$B$10,MATCH(H134,'Pay Calendar'!$A$2:$A$10,0)),"")</f>
        <v/>
      </c>
    </row>
    <row r="135" spans="1:9" x14ac:dyDescent="0.2">
      <c r="A135" s="7"/>
      <c r="C135" t="str">
        <f>IFERROR(VLOOKUP(B135,'Commission Rates'!$A:$C,2,FALSE),"")</f>
        <v/>
      </c>
      <c r="E135" s="8">
        <f>IFERROR(VLOOKUP(B135,'Commission Rates'!$A:$C,3,FALSE),0)</f>
        <v>0</v>
      </c>
      <c r="F135" s="8" t="str">
        <f>IF(B135="","",D135*E135)</f>
        <v/>
      </c>
      <c r="H135" t="str">
        <f>IF(A135="","",WEEKNUM(A135,1))</f>
        <v/>
      </c>
      <c r="I135" t="str">
        <f>IFERROR(INDEX('Pay Calendar'!$B$2:$B$10,MATCH(H135,'Pay Calendar'!$A$2:$A$10,0)),"")</f>
        <v/>
      </c>
    </row>
    <row r="136" spans="1:9" x14ac:dyDescent="0.2">
      <c r="A136" s="7"/>
      <c r="C136" t="str">
        <f>IFERROR(VLOOKUP(B136,'Commission Rates'!$A:$C,2,FALSE),"")</f>
        <v/>
      </c>
      <c r="E136" s="8">
        <f>IFERROR(VLOOKUP(B136,'Commission Rates'!$A:$C,3,FALSE),0)</f>
        <v>0</v>
      </c>
      <c r="F136" s="8" t="str">
        <f>IF(B136="","",D136*E136)</f>
        <v/>
      </c>
      <c r="H136" t="str">
        <f>IF(A136="","",WEEKNUM(A136,1))</f>
        <v/>
      </c>
      <c r="I136" t="str">
        <f>IFERROR(INDEX('Pay Calendar'!$B$2:$B$10,MATCH(H136,'Pay Calendar'!$A$2:$A$10,0)),"")</f>
        <v/>
      </c>
    </row>
    <row r="137" spans="1:9" x14ac:dyDescent="0.2">
      <c r="A137" s="7"/>
      <c r="C137" t="str">
        <f>IFERROR(VLOOKUP(B137,'Commission Rates'!$A:$C,2,FALSE),"")</f>
        <v/>
      </c>
      <c r="E137" s="8">
        <f>IFERROR(VLOOKUP(B137,'Commission Rates'!$A:$C,3,FALSE),0)</f>
        <v>0</v>
      </c>
      <c r="F137" s="8" t="str">
        <f>IF(B137="","",D137*E137)</f>
        <v/>
      </c>
      <c r="H137" t="str">
        <f>IF(A137="","",WEEKNUM(A137,1))</f>
        <v/>
      </c>
      <c r="I137" t="str">
        <f>IFERROR(INDEX('Pay Calendar'!$B$2:$B$10,MATCH(H137,'Pay Calendar'!$A$2:$A$10,0)),"")</f>
        <v/>
      </c>
    </row>
    <row r="138" spans="1:9" x14ac:dyDescent="0.2">
      <c r="A138" s="7"/>
      <c r="C138" t="str">
        <f>IFERROR(VLOOKUP(B138,'Commission Rates'!$A:$C,2,FALSE),"")</f>
        <v/>
      </c>
      <c r="E138" s="8">
        <f>IFERROR(VLOOKUP(B138,'Commission Rates'!$A:$C,3,FALSE),0)</f>
        <v>0</v>
      </c>
      <c r="F138" s="8" t="str">
        <f>IF(B138="","",D138*E138)</f>
        <v/>
      </c>
      <c r="H138" t="str">
        <f>IF(A138="","",WEEKNUM(A138,1))</f>
        <v/>
      </c>
      <c r="I138" t="str">
        <f>IFERROR(INDEX('Pay Calendar'!$B$2:$B$10,MATCH(H138,'Pay Calendar'!$A$2:$A$10,0)),"")</f>
        <v/>
      </c>
    </row>
    <row r="139" spans="1:9" x14ac:dyDescent="0.2">
      <c r="A139" s="7"/>
      <c r="C139" t="str">
        <f>IFERROR(VLOOKUP(B139,'Commission Rates'!$A:$C,2,FALSE),"")</f>
        <v/>
      </c>
      <c r="E139" s="8">
        <f>IFERROR(VLOOKUP(B139,'Commission Rates'!$A:$C,3,FALSE),0)</f>
        <v>0</v>
      </c>
      <c r="F139" s="8" t="str">
        <f>IF(B139="","",D139*E139)</f>
        <v/>
      </c>
      <c r="H139" t="str">
        <f>IF(A139="","",WEEKNUM(A139,1))</f>
        <v/>
      </c>
      <c r="I139" t="str">
        <f>IFERROR(INDEX('Pay Calendar'!$B$2:$B$10,MATCH(H139,'Pay Calendar'!$A$2:$A$10,0)),"")</f>
        <v/>
      </c>
    </row>
    <row r="140" spans="1:9" x14ac:dyDescent="0.2">
      <c r="A140" s="7"/>
      <c r="C140" t="str">
        <f>IFERROR(VLOOKUP(B140,'Commission Rates'!$A:$C,2,FALSE),"")</f>
        <v/>
      </c>
      <c r="E140" s="8">
        <f>IFERROR(VLOOKUP(B140,'Commission Rates'!$A:$C,3,FALSE),0)</f>
        <v>0</v>
      </c>
      <c r="F140" s="8" t="str">
        <f>IF(B140="","",D140*E140)</f>
        <v/>
      </c>
      <c r="H140" t="str">
        <f>IF(A140="","",WEEKNUM(A140,1))</f>
        <v/>
      </c>
      <c r="I140" t="str">
        <f>IFERROR(INDEX('Pay Calendar'!$B$2:$B$10,MATCH(H140,'Pay Calendar'!$A$2:$A$10,0)),"")</f>
        <v/>
      </c>
    </row>
    <row r="141" spans="1:9" x14ac:dyDescent="0.2">
      <c r="A141" s="7"/>
      <c r="C141" t="str">
        <f>IFERROR(VLOOKUP(B141,'Commission Rates'!$A:$C,2,FALSE),"")</f>
        <v/>
      </c>
      <c r="E141" s="8">
        <f>IFERROR(VLOOKUP(B141,'Commission Rates'!$A:$C,3,FALSE),0)</f>
        <v>0</v>
      </c>
      <c r="F141" s="8" t="str">
        <f>IF(B141="","",D141*E141)</f>
        <v/>
      </c>
      <c r="H141" t="str">
        <f>IF(A141="","",WEEKNUM(A141,1))</f>
        <v/>
      </c>
      <c r="I141" t="str">
        <f>IFERROR(INDEX('Pay Calendar'!$B$2:$B$10,MATCH(H141,'Pay Calendar'!$A$2:$A$10,0)),"")</f>
        <v/>
      </c>
    </row>
    <row r="142" spans="1:9" x14ac:dyDescent="0.2">
      <c r="A142" s="7"/>
      <c r="C142" t="str">
        <f>IFERROR(VLOOKUP(B142,'Commission Rates'!$A:$C,2,FALSE),"")</f>
        <v/>
      </c>
      <c r="E142" s="8">
        <f>IFERROR(VLOOKUP(B142,'Commission Rates'!$A:$C,3,FALSE),0)</f>
        <v>0</v>
      </c>
      <c r="F142" s="8" t="str">
        <f>IF(B142="","",D142*E142)</f>
        <v/>
      </c>
      <c r="H142" t="str">
        <f>IF(A142="","",WEEKNUM(A142,1))</f>
        <v/>
      </c>
      <c r="I142" t="str">
        <f>IFERROR(INDEX('Pay Calendar'!$B$2:$B$10,MATCH(H142,'Pay Calendar'!$A$2:$A$10,0)),"")</f>
        <v/>
      </c>
    </row>
    <row r="143" spans="1:9" x14ac:dyDescent="0.2">
      <c r="A143" s="7"/>
      <c r="C143" t="str">
        <f>IFERROR(VLOOKUP(B143,'Commission Rates'!$A:$C,2,FALSE),"")</f>
        <v/>
      </c>
      <c r="E143" s="8">
        <f>IFERROR(VLOOKUP(B143,'Commission Rates'!$A:$C,3,FALSE),0)</f>
        <v>0</v>
      </c>
      <c r="F143" s="8" t="str">
        <f>IF(B143="","",D143*E143)</f>
        <v/>
      </c>
      <c r="H143" t="str">
        <f>IF(A143="","",WEEKNUM(A143,1))</f>
        <v/>
      </c>
      <c r="I143" t="str">
        <f>IFERROR(INDEX('Pay Calendar'!$B$2:$B$10,MATCH(H143,'Pay Calendar'!$A$2:$A$10,0)),"")</f>
        <v/>
      </c>
    </row>
    <row r="144" spans="1:9" x14ac:dyDescent="0.2">
      <c r="A144" s="7"/>
      <c r="C144" t="str">
        <f>IFERROR(VLOOKUP(B144,'Commission Rates'!$A:$C,2,FALSE),"")</f>
        <v/>
      </c>
      <c r="E144" s="8">
        <f>IFERROR(VLOOKUP(B144,'Commission Rates'!$A:$C,3,FALSE),0)</f>
        <v>0</v>
      </c>
      <c r="F144" s="8" t="str">
        <f>IF(B144="","",D144*E144)</f>
        <v/>
      </c>
      <c r="H144" t="str">
        <f>IF(A144="","",WEEKNUM(A144,1))</f>
        <v/>
      </c>
      <c r="I144" t="str">
        <f>IFERROR(INDEX('Pay Calendar'!$B$2:$B$10,MATCH(H144,'Pay Calendar'!$A$2:$A$10,0)),"")</f>
        <v/>
      </c>
    </row>
    <row r="145" spans="1:9" x14ac:dyDescent="0.2">
      <c r="A145" s="7"/>
      <c r="C145" t="str">
        <f>IFERROR(VLOOKUP(B145,'Commission Rates'!$A:$C,2,FALSE),"")</f>
        <v/>
      </c>
      <c r="E145" s="8">
        <f>IFERROR(VLOOKUP(B145,'Commission Rates'!$A:$C,3,FALSE),0)</f>
        <v>0</v>
      </c>
      <c r="F145" s="8" t="str">
        <f>IF(B145="","",D145*E145)</f>
        <v/>
      </c>
      <c r="H145" t="str">
        <f>IF(A145="","",WEEKNUM(A145,1))</f>
        <v/>
      </c>
      <c r="I145" t="str">
        <f>IFERROR(INDEX('Pay Calendar'!$B$2:$B$10,MATCH(H145,'Pay Calendar'!$A$2:$A$10,0)),"")</f>
        <v/>
      </c>
    </row>
    <row r="146" spans="1:9" x14ac:dyDescent="0.2">
      <c r="A146" s="7"/>
      <c r="C146" t="str">
        <f>IFERROR(VLOOKUP(B146,'Commission Rates'!$A:$C,2,FALSE),"")</f>
        <v/>
      </c>
      <c r="E146" s="8">
        <f>IFERROR(VLOOKUP(B146,'Commission Rates'!$A:$C,3,FALSE),0)</f>
        <v>0</v>
      </c>
      <c r="F146" s="8" t="str">
        <f>IF(B146="","",D146*E146)</f>
        <v/>
      </c>
      <c r="H146" t="str">
        <f>IF(A146="","",WEEKNUM(A146,1))</f>
        <v/>
      </c>
      <c r="I146" t="str">
        <f>IFERROR(INDEX('Pay Calendar'!$B$2:$B$10,MATCH(H146,'Pay Calendar'!$A$2:$A$10,0)),"")</f>
        <v/>
      </c>
    </row>
    <row r="147" spans="1:9" x14ac:dyDescent="0.2">
      <c r="A147" s="7"/>
      <c r="C147" t="str">
        <f>IFERROR(VLOOKUP(B147,'Commission Rates'!$A:$C,2,FALSE),"")</f>
        <v/>
      </c>
      <c r="E147" s="8">
        <f>IFERROR(VLOOKUP(B147,'Commission Rates'!$A:$C,3,FALSE),0)</f>
        <v>0</v>
      </c>
      <c r="F147" s="8" t="str">
        <f>IF(B147="","",D147*E147)</f>
        <v/>
      </c>
      <c r="H147" t="str">
        <f>IF(A147="","",WEEKNUM(A147,1))</f>
        <v/>
      </c>
      <c r="I147" t="str">
        <f>IFERROR(INDEX('Pay Calendar'!$B$2:$B$10,MATCH(H147,'Pay Calendar'!$A$2:$A$10,0)),"")</f>
        <v/>
      </c>
    </row>
    <row r="148" spans="1:9" x14ac:dyDescent="0.2">
      <c r="A148" s="7"/>
      <c r="C148" t="str">
        <f>IFERROR(VLOOKUP(B148,'Commission Rates'!$A:$C,2,FALSE),"")</f>
        <v/>
      </c>
      <c r="E148" s="8">
        <f>IFERROR(VLOOKUP(B148,'Commission Rates'!$A:$C,3,FALSE),0)</f>
        <v>0</v>
      </c>
      <c r="F148" s="8" t="str">
        <f>IF(B148="","",D148*E148)</f>
        <v/>
      </c>
      <c r="H148" t="str">
        <f>IF(A148="","",WEEKNUM(A148,1))</f>
        <v/>
      </c>
      <c r="I148" t="str">
        <f>IFERROR(INDEX('Pay Calendar'!$B$2:$B$10,MATCH(H148,'Pay Calendar'!$A$2:$A$10,0)),"")</f>
        <v/>
      </c>
    </row>
    <row r="149" spans="1:9" x14ac:dyDescent="0.2">
      <c r="A149" s="7"/>
      <c r="C149" t="str">
        <f>IFERROR(VLOOKUP(B149,'Commission Rates'!$A:$C,2,FALSE),"")</f>
        <v/>
      </c>
      <c r="E149" s="8">
        <f>IFERROR(VLOOKUP(B149,'Commission Rates'!$A:$C,3,FALSE),0)</f>
        <v>0</v>
      </c>
      <c r="F149" s="8" t="str">
        <f>IF(B149="","",D149*E149)</f>
        <v/>
      </c>
      <c r="H149" t="str">
        <f>IF(A149="","",WEEKNUM(A149,1))</f>
        <v/>
      </c>
      <c r="I149" t="str">
        <f>IFERROR(INDEX('Pay Calendar'!$B$2:$B$10,MATCH(H149,'Pay Calendar'!$A$2:$A$10,0)),"")</f>
        <v/>
      </c>
    </row>
    <row r="150" spans="1:9" x14ac:dyDescent="0.2">
      <c r="A150" s="7"/>
      <c r="C150" t="str">
        <f>IFERROR(VLOOKUP(B150,'Commission Rates'!$A:$C,2,FALSE),"")</f>
        <v/>
      </c>
      <c r="E150" s="8">
        <f>IFERROR(VLOOKUP(B150,'Commission Rates'!$A:$C,3,FALSE),0)</f>
        <v>0</v>
      </c>
      <c r="F150" s="8" t="str">
        <f>IF(B150="","",D150*E150)</f>
        <v/>
      </c>
      <c r="H150" t="str">
        <f>IF(A150="","",WEEKNUM(A150,1))</f>
        <v/>
      </c>
      <c r="I150" t="str">
        <f>IFERROR(INDEX('Pay Calendar'!$B$2:$B$10,MATCH(H150,'Pay Calendar'!$A$2:$A$10,0)),"")</f>
        <v/>
      </c>
    </row>
    <row r="151" spans="1:9" x14ac:dyDescent="0.2">
      <c r="A151" s="7"/>
      <c r="C151" t="str">
        <f>IFERROR(VLOOKUP(B151,'Commission Rates'!$A:$C,2,FALSE),"")</f>
        <v/>
      </c>
      <c r="E151" s="8">
        <f>IFERROR(VLOOKUP(B151,'Commission Rates'!$A:$C,3,FALSE),0)</f>
        <v>0</v>
      </c>
      <c r="F151" s="8" t="str">
        <f>IF(B151="","",D151*E151)</f>
        <v/>
      </c>
      <c r="H151" t="str">
        <f>IF(A151="","",WEEKNUM(A151,1))</f>
        <v/>
      </c>
      <c r="I151" t="str">
        <f>IFERROR(INDEX('Pay Calendar'!$B$2:$B$10,MATCH(H151,'Pay Calendar'!$A$2:$A$10,0)),"")</f>
        <v/>
      </c>
    </row>
    <row r="152" spans="1:9" x14ac:dyDescent="0.2">
      <c r="A152" s="7"/>
      <c r="C152" t="str">
        <f>IFERROR(VLOOKUP(B152,'Commission Rates'!$A:$C,2,FALSE),"")</f>
        <v/>
      </c>
      <c r="E152" s="8">
        <f>IFERROR(VLOOKUP(B152,'Commission Rates'!$A:$C,3,FALSE),0)</f>
        <v>0</v>
      </c>
      <c r="F152" s="8" t="str">
        <f>IF(B152="","",D152*E152)</f>
        <v/>
      </c>
      <c r="H152" t="str">
        <f>IF(A152="","",WEEKNUM(A152,1))</f>
        <v/>
      </c>
      <c r="I152" t="str">
        <f>IFERROR(INDEX('Pay Calendar'!$B$2:$B$10,MATCH(H152,'Pay Calendar'!$A$2:$A$10,0)),"")</f>
        <v/>
      </c>
    </row>
    <row r="153" spans="1:9" x14ac:dyDescent="0.2">
      <c r="A153" s="7"/>
      <c r="C153" t="str">
        <f>IFERROR(VLOOKUP(B153,'Commission Rates'!$A:$C,2,FALSE),"")</f>
        <v/>
      </c>
      <c r="E153" s="8">
        <f>IFERROR(VLOOKUP(B153,'Commission Rates'!$A:$C,3,FALSE),0)</f>
        <v>0</v>
      </c>
      <c r="F153" s="8" t="str">
        <f>IF(B153="","",D153*E153)</f>
        <v/>
      </c>
      <c r="H153" t="str">
        <f>IF(A153="","",WEEKNUM(A153,1))</f>
        <v/>
      </c>
      <c r="I153" t="str">
        <f>IFERROR(INDEX('Pay Calendar'!$B$2:$B$10,MATCH(H153,'Pay Calendar'!$A$2:$A$10,0)),"")</f>
        <v/>
      </c>
    </row>
    <row r="154" spans="1:9" x14ac:dyDescent="0.2">
      <c r="A154" s="7"/>
      <c r="C154" t="str">
        <f>IFERROR(VLOOKUP(B154,'Commission Rates'!$A:$C,2,FALSE),"")</f>
        <v/>
      </c>
      <c r="E154" s="8">
        <f>IFERROR(VLOOKUP(B154,'Commission Rates'!$A:$C,3,FALSE),0)</f>
        <v>0</v>
      </c>
      <c r="F154" s="8" t="str">
        <f>IF(B154="","",D154*E154)</f>
        <v/>
      </c>
      <c r="H154" t="str">
        <f>IF(A154="","",WEEKNUM(A154,1))</f>
        <v/>
      </c>
      <c r="I154" t="str">
        <f>IFERROR(INDEX('Pay Calendar'!$B$2:$B$10,MATCH(H154,'Pay Calendar'!$A$2:$A$10,0)),"")</f>
        <v/>
      </c>
    </row>
    <row r="155" spans="1:9" x14ac:dyDescent="0.2">
      <c r="A155" s="7"/>
      <c r="C155" t="str">
        <f>IFERROR(VLOOKUP(B155,'Commission Rates'!$A:$C,2,FALSE),"")</f>
        <v/>
      </c>
      <c r="E155" s="8">
        <f>IFERROR(VLOOKUP(B155,'Commission Rates'!$A:$C,3,FALSE),0)</f>
        <v>0</v>
      </c>
      <c r="F155" s="8" t="str">
        <f>IF(B155="","",D155*E155)</f>
        <v/>
      </c>
      <c r="H155" t="str">
        <f>IF(A155="","",WEEKNUM(A155,1))</f>
        <v/>
      </c>
      <c r="I155" t="str">
        <f>IFERROR(INDEX('Pay Calendar'!$B$2:$B$10,MATCH(H155,'Pay Calendar'!$A$2:$A$10,0)),"")</f>
        <v/>
      </c>
    </row>
    <row r="156" spans="1:9" x14ac:dyDescent="0.2">
      <c r="A156" s="7"/>
      <c r="C156" t="str">
        <f>IFERROR(VLOOKUP(B156,'Commission Rates'!$A:$C,2,FALSE),"")</f>
        <v/>
      </c>
      <c r="E156" s="8">
        <f>IFERROR(VLOOKUP(B156,'Commission Rates'!$A:$C,3,FALSE),0)</f>
        <v>0</v>
      </c>
      <c r="F156" s="8" t="str">
        <f>IF(B156="","",D156*E156)</f>
        <v/>
      </c>
      <c r="H156" t="str">
        <f>IF(A156="","",WEEKNUM(A156,1))</f>
        <v/>
      </c>
      <c r="I156" t="str">
        <f>IFERROR(INDEX('Pay Calendar'!$B$2:$B$10,MATCH(H156,'Pay Calendar'!$A$2:$A$10,0)),"")</f>
        <v/>
      </c>
    </row>
    <row r="157" spans="1:9" x14ac:dyDescent="0.2">
      <c r="A157" s="7"/>
      <c r="C157" t="str">
        <f>IFERROR(VLOOKUP(B157,'Commission Rates'!$A:$C,2,FALSE),"")</f>
        <v/>
      </c>
      <c r="E157" s="8">
        <f>IFERROR(VLOOKUP(B157,'Commission Rates'!$A:$C,3,FALSE),0)</f>
        <v>0</v>
      </c>
      <c r="F157" s="8" t="str">
        <f>IF(B157="","",D157*E157)</f>
        <v/>
      </c>
      <c r="H157" t="str">
        <f>IF(A157="","",WEEKNUM(A157,1))</f>
        <v/>
      </c>
      <c r="I157" t="str">
        <f>IFERROR(INDEX('Pay Calendar'!$B$2:$B$10,MATCH(H157,'Pay Calendar'!$A$2:$A$10,0)),"")</f>
        <v/>
      </c>
    </row>
    <row r="158" spans="1:9" x14ac:dyDescent="0.2">
      <c r="A158" s="7"/>
      <c r="C158" t="str">
        <f>IFERROR(VLOOKUP(B158,'Commission Rates'!$A:$C,2,FALSE),"")</f>
        <v/>
      </c>
      <c r="E158" s="8">
        <f>IFERROR(VLOOKUP(B158,'Commission Rates'!$A:$C,3,FALSE),0)</f>
        <v>0</v>
      </c>
      <c r="F158" s="8" t="str">
        <f>IF(B158="","",D158*E158)</f>
        <v/>
      </c>
      <c r="H158" t="str">
        <f>IF(A158="","",WEEKNUM(A158,1))</f>
        <v/>
      </c>
      <c r="I158" t="str">
        <f>IFERROR(INDEX('Pay Calendar'!$B$2:$B$10,MATCH(H158,'Pay Calendar'!$A$2:$A$10,0)),"")</f>
        <v/>
      </c>
    </row>
    <row r="159" spans="1:9" x14ac:dyDescent="0.2">
      <c r="A159" s="7"/>
      <c r="C159" t="str">
        <f>IFERROR(VLOOKUP(B159,'Commission Rates'!$A:$C,2,FALSE),"")</f>
        <v/>
      </c>
      <c r="E159" s="8">
        <f>IFERROR(VLOOKUP(B159,'Commission Rates'!$A:$C,3,FALSE),0)</f>
        <v>0</v>
      </c>
      <c r="F159" s="8" t="str">
        <f>IF(B159="","",D159*E159)</f>
        <v/>
      </c>
      <c r="H159" t="str">
        <f>IF(A159="","",WEEKNUM(A159,1))</f>
        <v/>
      </c>
      <c r="I159" t="str">
        <f>IFERROR(INDEX('Pay Calendar'!$B$2:$B$10,MATCH(H159,'Pay Calendar'!$A$2:$A$10,0)),"")</f>
        <v/>
      </c>
    </row>
    <row r="160" spans="1:9" x14ac:dyDescent="0.2">
      <c r="A160" s="7"/>
      <c r="C160" t="str">
        <f>IFERROR(VLOOKUP(B160,'Commission Rates'!$A:$C,2,FALSE),"")</f>
        <v/>
      </c>
      <c r="E160" s="8">
        <f>IFERROR(VLOOKUP(B160,'Commission Rates'!$A:$C,3,FALSE),0)</f>
        <v>0</v>
      </c>
      <c r="F160" s="8" t="str">
        <f>IF(B160="","",D160*E160)</f>
        <v/>
      </c>
      <c r="H160" t="str">
        <f>IF(A160="","",WEEKNUM(A160,1))</f>
        <v/>
      </c>
      <c r="I160" t="str">
        <f>IFERROR(INDEX('Pay Calendar'!$B$2:$B$10,MATCH(H160,'Pay Calendar'!$A$2:$A$10,0)),"")</f>
        <v/>
      </c>
    </row>
    <row r="161" spans="1:9" x14ac:dyDescent="0.2">
      <c r="A161" s="7"/>
      <c r="C161" t="str">
        <f>IFERROR(VLOOKUP(B161,'Commission Rates'!$A:$C,2,FALSE),"")</f>
        <v/>
      </c>
      <c r="E161" s="8">
        <f>IFERROR(VLOOKUP(B161,'Commission Rates'!$A:$C,3,FALSE),0)</f>
        <v>0</v>
      </c>
      <c r="F161" s="8" t="str">
        <f>IF(B161="","",D161*E161)</f>
        <v/>
      </c>
      <c r="H161" t="str">
        <f>IF(A161="","",WEEKNUM(A161,1))</f>
        <v/>
      </c>
      <c r="I161" t="str">
        <f>IFERROR(INDEX('Pay Calendar'!$B$2:$B$10,MATCH(H161,'Pay Calendar'!$A$2:$A$10,0)),"")</f>
        <v/>
      </c>
    </row>
    <row r="162" spans="1:9" x14ac:dyDescent="0.2">
      <c r="A162" s="7"/>
      <c r="C162" t="str">
        <f>IFERROR(VLOOKUP(B162,'Commission Rates'!$A:$C,2,FALSE),"")</f>
        <v/>
      </c>
      <c r="E162" s="8">
        <f>IFERROR(VLOOKUP(B162,'Commission Rates'!$A:$C,3,FALSE),0)</f>
        <v>0</v>
      </c>
      <c r="F162" s="8" t="str">
        <f>IF(B162="","",D162*E162)</f>
        <v/>
      </c>
      <c r="H162" t="str">
        <f>IF(A162="","",WEEKNUM(A162,1))</f>
        <v/>
      </c>
      <c r="I162" t="str">
        <f>IFERROR(INDEX('Pay Calendar'!$B$2:$B$10,MATCH(H162,'Pay Calendar'!$A$2:$A$10,0)),"")</f>
        <v/>
      </c>
    </row>
    <row r="163" spans="1:9" x14ac:dyDescent="0.2">
      <c r="A163" s="7"/>
      <c r="C163" t="str">
        <f>IFERROR(VLOOKUP(B163,'Commission Rates'!$A:$C,2,FALSE),"")</f>
        <v/>
      </c>
      <c r="E163" s="8">
        <f>IFERROR(VLOOKUP(B163,'Commission Rates'!$A:$C,3,FALSE),0)</f>
        <v>0</v>
      </c>
      <c r="F163" s="8" t="str">
        <f>IF(B163="","",D163*E163)</f>
        <v/>
      </c>
      <c r="H163" t="str">
        <f>IF(A163="","",WEEKNUM(A163,1))</f>
        <v/>
      </c>
      <c r="I163" t="str">
        <f>IFERROR(INDEX('Pay Calendar'!$B$2:$B$10,MATCH(H163,'Pay Calendar'!$A$2:$A$10,0)),"")</f>
        <v/>
      </c>
    </row>
    <row r="164" spans="1:9" x14ac:dyDescent="0.2">
      <c r="A164" s="7"/>
      <c r="C164" t="str">
        <f>IFERROR(VLOOKUP(B164,'Commission Rates'!$A:$C,2,FALSE),"")</f>
        <v/>
      </c>
      <c r="E164" s="8">
        <f>IFERROR(VLOOKUP(B164,'Commission Rates'!$A:$C,3,FALSE),0)</f>
        <v>0</v>
      </c>
      <c r="F164" s="8" t="str">
        <f>IF(B164="","",D164*E164)</f>
        <v/>
      </c>
      <c r="H164" t="str">
        <f>IF(A164="","",WEEKNUM(A164,1))</f>
        <v/>
      </c>
      <c r="I164" t="str">
        <f>IFERROR(INDEX('Pay Calendar'!$B$2:$B$10,MATCH(H164,'Pay Calendar'!$A$2:$A$10,0)),"")</f>
        <v/>
      </c>
    </row>
    <row r="165" spans="1:9" x14ac:dyDescent="0.2">
      <c r="A165" s="7"/>
      <c r="C165" t="str">
        <f>IFERROR(VLOOKUP(B165,'Commission Rates'!$A:$C,2,FALSE),"")</f>
        <v/>
      </c>
      <c r="E165" s="8">
        <f>IFERROR(VLOOKUP(B165,'Commission Rates'!$A:$C,3,FALSE),0)</f>
        <v>0</v>
      </c>
      <c r="F165" s="8" t="str">
        <f>IF(B165="","",D165*E165)</f>
        <v/>
      </c>
      <c r="H165" t="str">
        <f>IF(A165="","",WEEKNUM(A165,1))</f>
        <v/>
      </c>
      <c r="I165" t="str">
        <f>IFERROR(INDEX('Pay Calendar'!$B$2:$B$10,MATCH(H165,'Pay Calendar'!$A$2:$A$10,0)),"")</f>
        <v/>
      </c>
    </row>
    <row r="166" spans="1:9" x14ac:dyDescent="0.2">
      <c r="A166" s="7"/>
      <c r="C166" t="str">
        <f>IFERROR(VLOOKUP(B166,'Commission Rates'!$A:$C,2,FALSE),"")</f>
        <v/>
      </c>
      <c r="E166" s="8">
        <f>IFERROR(VLOOKUP(B166,'Commission Rates'!$A:$C,3,FALSE),0)</f>
        <v>0</v>
      </c>
      <c r="F166" s="8" t="str">
        <f>IF(B166="","",D166*E166)</f>
        <v/>
      </c>
      <c r="H166" t="str">
        <f>IF(A166="","",WEEKNUM(A166,1))</f>
        <v/>
      </c>
      <c r="I166" t="str">
        <f>IFERROR(INDEX('Pay Calendar'!$B$2:$B$10,MATCH(H166,'Pay Calendar'!$A$2:$A$10,0)),"")</f>
        <v/>
      </c>
    </row>
    <row r="167" spans="1:9" x14ac:dyDescent="0.2">
      <c r="A167" s="7"/>
      <c r="C167" t="str">
        <f>IFERROR(VLOOKUP(B167,'Commission Rates'!$A:$C,2,FALSE),"")</f>
        <v/>
      </c>
      <c r="E167" s="8">
        <f>IFERROR(VLOOKUP(B167,'Commission Rates'!$A:$C,3,FALSE),0)</f>
        <v>0</v>
      </c>
      <c r="F167" s="8" t="str">
        <f>IF(B167="","",D167*E167)</f>
        <v/>
      </c>
      <c r="H167" t="str">
        <f>IF(A167="","",WEEKNUM(A167,1))</f>
        <v/>
      </c>
      <c r="I167" t="str">
        <f>IFERROR(INDEX('Pay Calendar'!$B$2:$B$10,MATCH(H167,'Pay Calendar'!$A$2:$A$10,0)),"")</f>
        <v/>
      </c>
    </row>
    <row r="168" spans="1:9" x14ac:dyDescent="0.2">
      <c r="A168" s="7"/>
      <c r="C168" t="str">
        <f>IFERROR(VLOOKUP(B168,'Commission Rates'!$A:$C,2,FALSE),"")</f>
        <v/>
      </c>
      <c r="E168" s="8">
        <f>IFERROR(VLOOKUP(B168,'Commission Rates'!$A:$C,3,FALSE),0)</f>
        <v>0</v>
      </c>
      <c r="F168" s="8" t="str">
        <f>IF(B168="","",D168*E168)</f>
        <v/>
      </c>
      <c r="H168" t="str">
        <f>IF(A168="","",WEEKNUM(A168,1))</f>
        <v/>
      </c>
      <c r="I168" t="str">
        <f>IFERROR(INDEX('Pay Calendar'!$B$2:$B$10,MATCH(H168,'Pay Calendar'!$A$2:$A$10,0)),"")</f>
        <v/>
      </c>
    </row>
    <row r="169" spans="1:9" x14ac:dyDescent="0.2">
      <c r="A169" s="7"/>
      <c r="C169" t="str">
        <f>IFERROR(VLOOKUP(B169,'Commission Rates'!$A:$C,2,FALSE),"")</f>
        <v/>
      </c>
      <c r="E169" s="8">
        <f>IFERROR(VLOOKUP(B169,'Commission Rates'!$A:$C,3,FALSE),0)</f>
        <v>0</v>
      </c>
      <c r="F169" s="8" t="str">
        <f>IF(B169="","",D169*E169)</f>
        <v/>
      </c>
      <c r="H169" t="str">
        <f>IF(A169="","",WEEKNUM(A169,1))</f>
        <v/>
      </c>
      <c r="I169" t="str">
        <f>IFERROR(INDEX('Pay Calendar'!$B$2:$B$10,MATCH(H169,'Pay Calendar'!$A$2:$A$10,0)),"")</f>
        <v/>
      </c>
    </row>
    <row r="170" spans="1:9" x14ac:dyDescent="0.2">
      <c r="A170" s="7"/>
      <c r="C170" t="str">
        <f>IFERROR(VLOOKUP(B170,'Commission Rates'!$A:$C,2,FALSE),"")</f>
        <v/>
      </c>
      <c r="E170" s="8">
        <f>IFERROR(VLOOKUP(B170,'Commission Rates'!$A:$C,3,FALSE),0)</f>
        <v>0</v>
      </c>
      <c r="F170" s="8" t="str">
        <f>IF(B170="","",D170*E170)</f>
        <v/>
      </c>
      <c r="H170" t="str">
        <f>IF(A170="","",WEEKNUM(A170,1))</f>
        <v/>
      </c>
      <c r="I170" t="str">
        <f>IFERROR(INDEX('Pay Calendar'!$B$2:$B$10,MATCH(H170,'Pay Calendar'!$A$2:$A$10,0)),"")</f>
        <v/>
      </c>
    </row>
    <row r="171" spans="1:9" x14ac:dyDescent="0.2">
      <c r="A171" s="7"/>
      <c r="C171" t="str">
        <f>IFERROR(VLOOKUP(B171,'Commission Rates'!$A:$C,2,FALSE),"")</f>
        <v/>
      </c>
      <c r="E171" s="8">
        <f>IFERROR(VLOOKUP(B171,'Commission Rates'!$A:$C,3,FALSE),0)</f>
        <v>0</v>
      </c>
      <c r="F171" s="8" t="str">
        <f>IF(B171="","",D171*E171)</f>
        <v/>
      </c>
      <c r="H171" t="str">
        <f>IF(A171="","",WEEKNUM(A171,1))</f>
        <v/>
      </c>
      <c r="I171" t="str">
        <f>IFERROR(INDEX('Pay Calendar'!$B$2:$B$10,MATCH(H171,'Pay Calendar'!$A$2:$A$10,0)),"")</f>
        <v/>
      </c>
    </row>
    <row r="172" spans="1:9" x14ac:dyDescent="0.2">
      <c r="A172" s="7"/>
      <c r="C172" t="str">
        <f>IFERROR(VLOOKUP(B172,'Commission Rates'!$A:$C,2,FALSE),"")</f>
        <v/>
      </c>
      <c r="E172" s="8">
        <f>IFERROR(VLOOKUP(B172,'Commission Rates'!$A:$C,3,FALSE),0)</f>
        <v>0</v>
      </c>
      <c r="F172" s="8" t="str">
        <f>IF(B172="","",D172*E172)</f>
        <v/>
      </c>
      <c r="H172" t="str">
        <f>IF(A172="","",WEEKNUM(A172,1))</f>
        <v/>
      </c>
      <c r="I172" t="str">
        <f>IFERROR(INDEX('Pay Calendar'!$B$2:$B$10,MATCH(H172,'Pay Calendar'!$A$2:$A$10,0)),"")</f>
        <v/>
      </c>
    </row>
    <row r="173" spans="1:9" x14ac:dyDescent="0.2">
      <c r="A173" s="7"/>
      <c r="C173" t="str">
        <f>IFERROR(VLOOKUP(B173,'Commission Rates'!$A:$C,2,FALSE),"")</f>
        <v/>
      </c>
      <c r="E173" s="8">
        <f>IFERROR(VLOOKUP(B173,'Commission Rates'!$A:$C,3,FALSE),0)</f>
        <v>0</v>
      </c>
      <c r="F173" s="8" t="str">
        <f>IF(B173="","",D173*E173)</f>
        <v/>
      </c>
      <c r="H173" t="str">
        <f>IF(A173="","",WEEKNUM(A173,1))</f>
        <v/>
      </c>
      <c r="I173" t="str">
        <f>IFERROR(INDEX('Pay Calendar'!$B$2:$B$10,MATCH(H173,'Pay Calendar'!$A$2:$A$10,0)),"")</f>
        <v/>
      </c>
    </row>
    <row r="174" spans="1:9" x14ac:dyDescent="0.2">
      <c r="A174" s="7"/>
      <c r="C174" t="str">
        <f>IFERROR(VLOOKUP(B174,'Commission Rates'!$A:$C,2,FALSE),"")</f>
        <v/>
      </c>
      <c r="E174" s="8">
        <f>IFERROR(VLOOKUP(B174,'Commission Rates'!$A:$C,3,FALSE),0)</f>
        <v>0</v>
      </c>
      <c r="F174" s="8" t="str">
        <f>IF(B174="","",D174*E174)</f>
        <v/>
      </c>
      <c r="H174" t="str">
        <f>IF(A174="","",WEEKNUM(A174,1))</f>
        <v/>
      </c>
      <c r="I174" t="str">
        <f>IFERROR(INDEX('Pay Calendar'!$B$2:$B$10,MATCH(H174,'Pay Calendar'!$A$2:$A$10,0)),"")</f>
        <v/>
      </c>
    </row>
    <row r="175" spans="1:9" x14ac:dyDescent="0.2">
      <c r="A175" s="7"/>
      <c r="C175" t="str">
        <f>IFERROR(VLOOKUP(B175,'Commission Rates'!$A:$C,2,FALSE),"")</f>
        <v/>
      </c>
      <c r="E175" s="8">
        <f>IFERROR(VLOOKUP(B175,'Commission Rates'!$A:$C,3,FALSE),0)</f>
        <v>0</v>
      </c>
      <c r="F175" s="8" t="str">
        <f>IF(B175="","",D175*E175)</f>
        <v/>
      </c>
      <c r="H175" t="str">
        <f>IF(A175="","",WEEKNUM(A175,1))</f>
        <v/>
      </c>
      <c r="I175" t="str">
        <f>IFERROR(INDEX('Pay Calendar'!$B$2:$B$10,MATCH(H175,'Pay Calendar'!$A$2:$A$10,0)),"")</f>
        <v/>
      </c>
    </row>
    <row r="176" spans="1:9" x14ac:dyDescent="0.2">
      <c r="A176" s="7"/>
      <c r="C176" t="str">
        <f>IFERROR(VLOOKUP(B176,'Commission Rates'!$A:$C,2,FALSE),"")</f>
        <v/>
      </c>
      <c r="E176" s="8">
        <f>IFERROR(VLOOKUP(B176,'Commission Rates'!$A:$C,3,FALSE),0)</f>
        <v>0</v>
      </c>
      <c r="F176" s="8" t="str">
        <f>IF(B176="","",D176*E176)</f>
        <v/>
      </c>
      <c r="H176" t="str">
        <f>IF(A176="","",WEEKNUM(A176,1))</f>
        <v/>
      </c>
      <c r="I176" t="str">
        <f>IFERROR(INDEX('Pay Calendar'!$B$2:$B$10,MATCH(H176,'Pay Calendar'!$A$2:$A$10,0)),"")</f>
        <v/>
      </c>
    </row>
    <row r="177" spans="1:9" x14ac:dyDescent="0.2">
      <c r="A177" s="7"/>
      <c r="C177" t="str">
        <f>IFERROR(VLOOKUP(B177,'Commission Rates'!$A:$C,2,FALSE),"")</f>
        <v/>
      </c>
      <c r="E177" s="8">
        <f>IFERROR(VLOOKUP(B177,'Commission Rates'!$A:$C,3,FALSE),0)</f>
        <v>0</v>
      </c>
      <c r="F177" s="8" t="str">
        <f>IF(B177="","",D177*E177)</f>
        <v/>
      </c>
      <c r="H177" t="str">
        <f>IF(A177="","",WEEKNUM(A177,1))</f>
        <v/>
      </c>
      <c r="I177" t="str">
        <f>IFERROR(INDEX('Pay Calendar'!$B$2:$B$10,MATCH(H177,'Pay Calendar'!$A$2:$A$10,0)),"")</f>
        <v/>
      </c>
    </row>
    <row r="178" spans="1:9" x14ac:dyDescent="0.2">
      <c r="A178" s="7"/>
      <c r="C178" t="str">
        <f>IFERROR(VLOOKUP(B178,'Commission Rates'!$A:$C,2,FALSE),"")</f>
        <v/>
      </c>
      <c r="E178" s="8">
        <f>IFERROR(VLOOKUP(B178,'Commission Rates'!$A:$C,3,FALSE),0)</f>
        <v>0</v>
      </c>
      <c r="F178" s="8" t="str">
        <f>IF(B178="","",D178*E178)</f>
        <v/>
      </c>
      <c r="H178" t="str">
        <f>IF(A178="","",WEEKNUM(A178,1))</f>
        <v/>
      </c>
      <c r="I178" t="str">
        <f>IFERROR(INDEX('Pay Calendar'!$B$2:$B$10,MATCH(H178,'Pay Calendar'!$A$2:$A$10,0)),"")</f>
        <v/>
      </c>
    </row>
    <row r="179" spans="1:9" x14ac:dyDescent="0.2">
      <c r="A179" s="7"/>
      <c r="C179" t="str">
        <f>IFERROR(VLOOKUP(B179,'Commission Rates'!$A:$C,2,FALSE),"")</f>
        <v/>
      </c>
      <c r="E179" s="8">
        <f>IFERROR(VLOOKUP(B179,'Commission Rates'!$A:$C,3,FALSE),0)</f>
        <v>0</v>
      </c>
      <c r="F179" s="8" t="str">
        <f>IF(B179="","",D179*E179)</f>
        <v/>
      </c>
      <c r="H179" t="str">
        <f>IF(A179="","",WEEKNUM(A179,1))</f>
        <v/>
      </c>
      <c r="I179" t="str">
        <f>IFERROR(INDEX('Pay Calendar'!$B$2:$B$10,MATCH(H179,'Pay Calendar'!$A$2:$A$10,0)),"")</f>
        <v/>
      </c>
    </row>
    <row r="180" spans="1:9" x14ac:dyDescent="0.2">
      <c r="A180" s="7"/>
      <c r="C180" t="str">
        <f>IFERROR(VLOOKUP(B180,'Commission Rates'!$A:$C,2,FALSE),"")</f>
        <v/>
      </c>
      <c r="E180" s="8">
        <f>IFERROR(VLOOKUP(B180,'Commission Rates'!$A:$C,3,FALSE),0)</f>
        <v>0</v>
      </c>
      <c r="F180" s="8" t="str">
        <f>IF(B180="","",D180*E180)</f>
        <v/>
      </c>
      <c r="H180" t="str">
        <f>IF(A180="","",WEEKNUM(A180,1))</f>
        <v/>
      </c>
      <c r="I180" t="str">
        <f>IFERROR(INDEX('Pay Calendar'!$B$2:$B$10,MATCH(H180,'Pay Calendar'!$A$2:$A$10,0)),"")</f>
        <v/>
      </c>
    </row>
    <row r="181" spans="1:9" x14ac:dyDescent="0.2">
      <c r="A181" s="7"/>
      <c r="C181" t="str">
        <f>IFERROR(VLOOKUP(B181,'Commission Rates'!$A:$C,2,FALSE),"")</f>
        <v/>
      </c>
      <c r="E181" s="8">
        <f>IFERROR(VLOOKUP(B181,'Commission Rates'!$A:$C,3,FALSE),0)</f>
        <v>0</v>
      </c>
      <c r="F181" s="8" t="str">
        <f>IF(B181="","",D181*E181)</f>
        <v/>
      </c>
      <c r="H181" t="str">
        <f>IF(A181="","",WEEKNUM(A181,1))</f>
        <v/>
      </c>
      <c r="I181" t="str">
        <f>IFERROR(INDEX('Pay Calendar'!$B$2:$B$10,MATCH(H181,'Pay Calendar'!$A$2:$A$10,0)),"")</f>
        <v/>
      </c>
    </row>
    <row r="182" spans="1:9" x14ac:dyDescent="0.2">
      <c r="A182" s="7"/>
      <c r="C182" t="str">
        <f>IFERROR(VLOOKUP(B182,'Commission Rates'!$A:$C,2,FALSE),"")</f>
        <v/>
      </c>
      <c r="E182" s="8">
        <f>IFERROR(VLOOKUP(B182,'Commission Rates'!$A:$C,3,FALSE),0)</f>
        <v>0</v>
      </c>
      <c r="F182" s="8" t="str">
        <f>IF(B182="","",D182*E182)</f>
        <v/>
      </c>
      <c r="H182" t="str">
        <f>IF(A182="","",WEEKNUM(A182,1))</f>
        <v/>
      </c>
      <c r="I182" t="str">
        <f>IFERROR(INDEX('Pay Calendar'!$B$2:$B$10,MATCH(H182,'Pay Calendar'!$A$2:$A$10,0)),"")</f>
        <v/>
      </c>
    </row>
    <row r="183" spans="1:9" x14ac:dyDescent="0.2">
      <c r="A183" s="7"/>
      <c r="C183" t="str">
        <f>IFERROR(VLOOKUP(B183,'Commission Rates'!$A:$C,2,FALSE),"")</f>
        <v/>
      </c>
      <c r="E183" s="8">
        <f>IFERROR(VLOOKUP(B183,'Commission Rates'!$A:$C,3,FALSE),0)</f>
        <v>0</v>
      </c>
      <c r="F183" s="8" t="str">
        <f>IF(B183="","",D183*E183)</f>
        <v/>
      </c>
      <c r="H183" t="str">
        <f>IF(A183="","",WEEKNUM(A183,1))</f>
        <v/>
      </c>
      <c r="I183" t="str">
        <f>IFERROR(INDEX('Pay Calendar'!$B$2:$B$10,MATCH(H183,'Pay Calendar'!$A$2:$A$10,0)),"")</f>
        <v/>
      </c>
    </row>
    <row r="184" spans="1:9" x14ac:dyDescent="0.2">
      <c r="A184" s="7"/>
      <c r="C184" t="str">
        <f>IFERROR(VLOOKUP(B184,'Commission Rates'!$A:$C,2,FALSE),"")</f>
        <v/>
      </c>
      <c r="E184" s="8">
        <f>IFERROR(VLOOKUP(B184,'Commission Rates'!$A:$C,3,FALSE),0)</f>
        <v>0</v>
      </c>
      <c r="F184" s="8" t="str">
        <f>IF(B184="","",D184*E184)</f>
        <v/>
      </c>
      <c r="H184" t="str">
        <f>IF(A184="","",WEEKNUM(A184,1))</f>
        <v/>
      </c>
      <c r="I184" t="str">
        <f>IFERROR(INDEX('Pay Calendar'!$B$2:$B$10,MATCH(H184,'Pay Calendar'!$A$2:$A$10,0)),"")</f>
        <v/>
      </c>
    </row>
    <row r="185" spans="1:9" x14ac:dyDescent="0.2">
      <c r="A185" s="7"/>
      <c r="C185" t="str">
        <f>IFERROR(VLOOKUP(B185,'Commission Rates'!$A:$C,2,FALSE),"")</f>
        <v/>
      </c>
      <c r="E185" s="8">
        <f>IFERROR(VLOOKUP(B185,'Commission Rates'!$A:$C,3,FALSE),0)</f>
        <v>0</v>
      </c>
      <c r="F185" s="8" t="str">
        <f>IF(B185="","",D185*E185)</f>
        <v/>
      </c>
      <c r="H185" t="str">
        <f>IF(A185="","",WEEKNUM(A185,1))</f>
        <v/>
      </c>
      <c r="I185" t="str">
        <f>IFERROR(INDEX('Pay Calendar'!$B$2:$B$10,MATCH(H185,'Pay Calendar'!$A$2:$A$10,0)),"")</f>
        <v/>
      </c>
    </row>
    <row r="186" spans="1:9" x14ac:dyDescent="0.2">
      <c r="A186" s="7"/>
      <c r="C186" t="str">
        <f>IFERROR(VLOOKUP(B186,'Commission Rates'!$A:$C,2,FALSE),"")</f>
        <v/>
      </c>
      <c r="E186" s="8">
        <f>IFERROR(VLOOKUP(B186,'Commission Rates'!$A:$C,3,FALSE),0)</f>
        <v>0</v>
      </c>
      <c r="F186" s="8" t="str">
        <f>IF(B186="","",D186*E186)</f>
        <v/>
      </c>
      <c r="H186" t="str">
        <f>IF(A186="","",WEEKNUM(A186,1))</f>
        <v/>
      </c>
      <c r="I186" t="str">
        <f>IFERROR(INDEX('Pay Calendar'!$B$2:$B$10,MATCH(H186,'Pay Calendar'!$A$2:$A$10,0)),"")</f>
        <v/>
      </c>
    </row>
    <row r="187" spans="1:9" x14ac:dyDescent="0.2">
      <c r="A187" s="7"/>
      <c r="C187" t="str">
        <f>IFERROR(VLOOKUP(B187,'Commission Rates'!$A:$C,2,FALSE),"")</f>
        <v/>
      </c>
      <c r="E187" s="8">
        <f>IFERROR(VLOOKUP(B187,'Commission Rates'!$A:$C,3,FALSE),0)</f>
        <v>0</v>
      </c>
      <c r="F187" s="8" t="str">
        <f>IF(B187="","",D187*E187)</f>
        <v/>
      </c>
      <c r="H187" t="str">
        <f>IF(A187="","",WEEKNUM(A187,1))</f>
        <v/>
      </c>
      <c r="I187" t="str">
        <f>IFERROR(INDEX('Pay Calendar'!$B$2:$B$10,MATCH(H187,'Pay Calendar'!$A$2:$A$10,0)),"")</f>
        <v/>
      </c>
    </row>
    <row r="188" spans="1:9" x14ac:dyDescent="0.2">
      <c r="A188" s="7"/>
      <c r="C188" t="str">
        <f>IFERROR(VLOOKUP(B188,'Commission Rates'!$A:$C,2,FALSE),"")</f>
        <v/>
      </c>
      <c r="E188" s="8">
        <f>IFERROR(VLOOKUP(B188,'Commission Rates'!$A:$C,3,FALSE),0)</f>
        <v>0</v>
      </c>
      <c r="F188" s="8" t="str">
        <f>IF(B188="","",D188*E188)</f>
        <v/>
      </c>
      <c r="H188" t="str">
        <f>IF(A188="","",WEEKNUM(A188,1))</f>
        <v/>
      </c>
      <c r="I188" t="str">
        <f>IFERROR(INDEX('Pay Calendar'!$B$2:$B$10,MATCH(H188,'Pay Calendar'!$A$2:$A$10,0)),"")</f>
        <v/>
      </c>
    </row>
    <row r="189" spans="1:9" x14ac:dyDescent="0.2">
      <c r="A189" s="7"/>
      <c r="C189" t="str">
        <f>IFERROR(VLOOKUP(B189,'Commission Rates'!$A:$C,2,FALSE),"")</f>
        <v/>
      </c>
      <c r="E189" s="8">
        <f>IFERROR(VLOOKUP(B189,'Commission Rates'!$A:$C,3,FALSE),0)</f>
        <v>0</v>
      </c>
      <c r="F189" s="8" t="str">
        <f>IF(B189="","",D189*E189)</f>
        <v/>
      </c>
      <c r="H189" t="str">
        <f>IF(A189="","",WEEKNUM(A189,1))</f>
        <v/>
      </c>
      <c r="I189" t="str">
        <f>IFERROR(INDEX('Pay Calendar'!$B$2:$B$10,MATCH(H189,'Pay Calendar'!$A$2:$A$10,0)),"")</f>
        <v/>
      </c>
    </row>
    <row r="190" spans="1:9" x14ac:dyDescent="0.2">
      <c r="A190" s="7"/>
      <c r="C190" t="str">
        <f>IFERROR(VLOOKUP(B190,'Commission Rates'!$A:$C,2,FALSE),"")</f>
        <v/>
      </c>
      <c r="E190" s="8">
        <f>IFERROR(VLOOKUP(B190,'Commission Rates'!$A:$C,3,FALSE),0)</f>
        <v>0</v>
      </c>
      <c r="F190" s="8" t="str">
        <f>IF(B190="","",D190*E190)</f>
        <v/>
      </c>
      <c r="H190" t="str">
        <f>IF(A190="","",WEEKNUM(A190,1))</f>
        <v/>
      </c>
      <c r="I190" t="str">
        <f>IFERROR(INDEX('Pay Calendar'!$B$2:$B$10,MATCH(H190,'Pay Calendar'!$A$2:$A$10,0)),"")</f>
        <v/>
      </c>
    </row>
    <row r="191" spans="1:9" x14ac:dyDescent="0.2">
      <c r="A191" s="7"/>
      <c r="C191" t="str">
        <f>IFERROR(VLOOKUP(B191,'Commission Rates'!$A:$C,2,FALSE),"")</f>
        <v/>
      </c>
      <c r="E191" s="8">
        <f>IFERROR(VLOOKUP(B191,'Commission Rates'!$A:$C,3,FALSE),0)</f>
        <v>0</v>
      </c>
      <c r="F191" s="8" t="str">
        <f>IF(B191="","",D191*E191)</f>
        <v/>
      </c>
      <c r="H191" t="str">
        <f>IF(A191="","",WEEKNUM(A191,1))</f>
        <v/>
      </c>
      <c r="I191" t="str">
        <f>IFERROR(INDEX('Pay Calendar'!$B$2:$B$10,MATCH(H191,'Pay Calendar'!$A$2:$A$10,0)),"")</f>
        <v/>
      </c>
    </row>
    <row r="192" spans="1:9" x14ac:dyDescent="0.2">
      <c r="A192" s="7"/>
      <c r="C192" t="str">
        <f>IFERROR(VLOOKUP(B192,'Commission Rates'!$A:$C,2,FALSE),"")</f>
        <v/>
      </c>
      <c r="E192" s="8">
        <f>IFERROR(VLOOKUP(B192,'Commission Rates'!$A:$C,3,FALSE),0)</f>
        <v>0</v>
      </c>
      <c r="F192" s="8" t="str">
        <f>IF(B192="","",D192*E192)</f>
        <v/>
      </c>
      <c r="H192" t="str">
        <f>IF(A192="","",WEEKNUM(A192,1))</f>
        <v/>
      </c>
      <c r="I192" t="str">
        <f>IFERROR(INDEX('Pay Calendar'!$B$2:$B$10,MATCH(H192,'Pay Calendar'!$A$2:$A$10,0)),"")</f>
        <v/>
      </c>
    </row>
    <row r="193" spans="1:9" x14ac:dyDescent="0.2">
      <c r="A193" s="7"/>
      <c r="C193" t="str">
        <f>IFERROR(VLOOKUP(B193,'Commission Rates'!$A:$C,2,FALSE),"")</f>
        <v/>
      </c>
      <c r="E193" s="8">
        <f>IFERROR(VLOOKUP(B193,'Commission Rates'!$A:$C,3,FALSE),0)</f>
        <v>0</v>
      </c>
      <c r="F193" s="8" t="str">
        <f>IF(B193="","",D193*E193)</f>
        <v/>
      </c>
      <c r="H193" t="str">
        <f>IF(A193="","",WEEKNUM(A193,1))</f>
        <v/>
      </c>
      <c r="I193" t="str">
        <f>IFERROR(INDEX('Pay Calendar'!$B$2:$B$10,MATCH(H193,'Pay Calendar'!$A$2:$A$10,0)),"")</f>
        <v/>
      </c>
    </row>
    <row r="194" spans="1:9" x14ac:dyDescent="0.2">
      <c r="A194" s="7"/>
      <c r="C194" t="str">
        <f>IFERROR(VLOOKUP(B194,'Commission Rates'!$A:$C,2,FALSE),"")</f>
        <v/>
      </c>
      <c r="E194" s="8">
        <f>IFERROR(VLOOKUP(B194,'Commission Rates'!$A:$C,3,FALSE),0)</f>
        <v>0</v>
      </c>
      <c r="F194" s="8" t="str">
        <f>IF(B194="","",D194*E194)</f>
        <v/>
      </c>
      <c r="H194" t="str">
        <f>IF(A194="","",WEEKNUM(A194,1))</f>
        <v/>
      </c>
      <c r="I194" t="str">
        <f>IFERROR(INDEX('Pay Calendar'!$B$2:$B$10,MATCH(H194,'Pay Calendar'!$A$2:$A$10,0)),"")</f>
        <v/>
      </c>
    </row>
    <row r="195" spans="1:9" x14ac:dyDescent="0.2">
      <c r="A195" s="7"/>
      <c r="C195" t="str">
        <f>IFERROR(VLOOKUP(B195,'Commission Rates'!$A:$C,2,FALSE),"")</f>
        <v/>
      </c>
      <c r="E195" s="8">
        <f>IFERROR(VLOOKUP(B195,'Commission Rates'!$A:$C,3,FALSE),0)</f>
        <v>0</v>
      </c>
      <c r="F195" s="8" t="str">
        <f>IF(B195="","",D195*E195)</f>
        <v/>
      </c>
      <c r="H195" t="str">
        <f>IF(A195="","",WEEKNUM(A195,1))</f>
        <v/>
      </c>
      <c r="I195" t="str">
        <f>IFERROR(INDEX('Pay Calendar'!$B$2:$B$10,MATCH(H195,'Pay Calendar'!$A$2:$A$10,0)),"")</f>
        <v/>
      </c>
    </row>
    <row r="196" spans="1:9" x14ac:dyDescent="0.2">
      <c r="A196" s="7"/>
      <c r="C196" t="str">
        <f>IFERROR(VLOOKUP(B196,'Commission Rates'!$A:$C,2,FALSE),"")</f>
        <v/>
      </c>
      <c r="E196" s="8">
        <f>IFERROR(VLOOKUP(B196,'Commission Rates'!$A:$C,3,FALSE),0)</f>
        <v>0</v>
      </c>
      <c r="F196" s="8" t="str">
        <f>IF(B196="","",D196*E196)</f>
        <v/>
      </c>
      <c r="H196" t="str">
        <f>IF(A196="","",WEEKNUM(A196,1))</f>
        <v/>
      </c>
      <c r="I196" t="str">
        <f>IFERROR(INDEX('Pay Calendar'!$B$2:$B$10,MATCH(H196,'Pay Calendar'!$A$2:$A$10,0)),"")</f>
        <v/>
      </c>
    </row>
    <row r="197" spans="1:9" x14ac:dyDescent="0.2">
      <c r="A197" s="7"/>
      <c r="C197" t="str">
        <f>IFERROR(VLOOKUP(B197,'Commission Rates'!$A:$C,2,FALSE),"")</f>
        <v/>
      </c>
      <c r="E197" s="8">
        <f>IFERROR(VLOOKUP(B197,'Commission Rates'!$A:$C,3,FALSE),0)</f>
        <v>0</v>
      </c>
      <c r="F197" s="8" t="str">
        <f>IF(B197="","",D197*E197)</f>
        <v/>
      </c>
      <c r="H197" t="str">
        <f>IF(A197="","",WEEKNUM(A197,1))</f>
        <v/>
      </c>
      <c r="I197" t="str">
        <f>IFERROR(INDEX('Pay Calendar'!$B$2:$B$10,MATCH(H197,'Pay Calendar'!$A$2:$A$10,0)),"")</f>
        <v/>
      </c>
    </row>
    <row r="198" spans="1:9" x14ac:dyDescent="0.2">
      <c r="A198" s="7"/>
      <c r="C198" t="str">
        <f>IFERROR(VLOOKUP(B198,'Commission Rates'!$A:$C,2,FALSE),"")</f>
        <v/>
      </c>
      <c r="E198" s="8">
        <f>IFERROR(VLOOKUP(B198,'Commission Rates'!$A:$C,3,FALSE),0)</f>
        <v>0</v>
      </c>
      <c r="F198" s="8" t="str">
        <f>IF(B198="","",D198*E198)</f>
        <v/>
      </c>
      <c r="H198" t="str">
        <f>IF(A198="","",WEEKNUM(A198,1))</f>
        <v/>
      </c>
      <c r="I198" t="str">
        <f>IFERROR(INDEX('Pay Calendar'!$B$2:$B$10,MATCH(H198,'Pay Calendar'!$A$2:$A$10,0)),"")</f>
        <v/>
      </c>
    </row>
    <row r="199" spans="1:9" x14ac:dyDescent="0.2">
      <c r="A199" s="7"/>
      <c r="C199" t="str">
        <f>IFERROR(VLOOKUP(B199,'Commission Rates'!$A:$C,2,FALSE),"")</f>
        <v/>
      </c>
      <c r="E199" s="8">
        <f>IFERROR(VLOOKUP(B199,'Commission Rates'!$A:$C,3,FALSE),0)</f>
        <v>0</v>
      </c>
      <c r="F199" s="8" t="str">
        <f>IF(B199="","",D199*E199)</f>
        <v/>
      </c>
      <c r="H199" t="str">
        <f>IF(A199="","",WEEKNUM(A199,1))</f>
        <v/>
      </c>
      <c r="I199" t="str">
        <f>IFERROR(INDEX('Pay Calendar'!$B$2:$B$10,MATCH(H199,'Pay Calendar'!$A$2:$A$10,0)),"")</f>
        <v/>
      </c>
    </row>
    <row r="200" spans="1:9" x14ac:dyDescent="0.2">
      <c r="A200" s="7"/>
      <c r="C200" t="str">
        <f>IFERROR(VLOOKUP(B200,'Commission Rates'!$A:$C,2,FALSE),"")</f>
        <v/>
      </c>
      <c r="E200" s="8">
        <f>IFERROR(VLOOKUP(B200,'Commission Rates'!$A:$C,3,FALSE),0)</f>
        <v>0</v>
      </c>
      <c r="F200" s="8" t="str">
        <f>IF(B200="","",D200*E200)</f>
        <v/>
      </c>
      <c r="H200" t="str">
        <f>IF(A200="","",WEEKNUM(A200,1))</f>
        <v/>
      </c>
      <c r="I200" t="str">
        <f>IFERROR(INDEX('Pay Calendar'!$B$2:$B$10,MATCH(H200,'Pay Calendar'!$A$2:$A$10,0)),"")</f>
        <v/>
      </c>
    </row>
    <row r="201" spans="1:9" x14ac:dyDescent="0.2">
      <c r="A201" s="7"/>
      <c r="C201" t="str">
        <f>IFERROR(VLOOKUP(B201,'Commission Rates'!$A:$C,2,FALSE),"")</f>
        <v/>
      </c>
      <c r="E201" s="8">
        <f>IFERROR(VLOOKUP(B201,'Commission Rates'!$A:$C,3,FALSE),0)</f>
        <v>0</v>
      </c>
      <c r="F201" s="8" t="str">
        <f>IF(B201="","",D201*E201)</f>
        <v/>
      </c>
      <c r="H201" t="str">
        <f>IF(A201="","",WEEKNUM(A201,1))</f>
        <v/>
      </c>
      <c r="I201" t="str">
        <f>IFERROR(INDEX('Pay Calendar'!$B$2:$B$10,MATCH(H201,'Pay Calendar'!$A$2:$A$10,0)),"")</f>
        <v/>
      </c>
    </row>
    <row r="202" spans="1:9" x14ac:dyDescent="0.2">
      <c r="A202" s="7"/>
      <c r="C202" t="str">
        <f>IFERROR(VLOOKUP(B202,'Commission Rates'!$A:$C,2,FALSE),"")</f>
        <v/>
      </c>
      <c r="E202" s="8">
        <f>IFERROR(VLOOKUP(B202,'Commission Rates'!$A:$C,3,FALSE),0)</f>
        <v>0</v>
      </c>
      <c r="F202" s="8" t="str">
        <f>IF(B202="","",D202*E202)</f>
        <v/>
      </c>
      <c r="H202" t="str">
        <f>IF(A202="","",WEEKNUM(A202,1))</f>
        <v/>
      </c>
      <c r="I202" t="str">
        <f>IFERROR(INDEX('Pay Calendar'!$B$2:$B$10,MATCH(H202,'Pay Calendar'!$A$2:$A$10,0)),"")</f>
        <v/>
      </c>
    </row>
    <row r="203" spans="1:9" x14ac:dyDescent="0.2">
      <c r="A203" s="7"/>
      <c r="C203" t="str">
        <f>IFERROR(VLOOKUP(B203,'Commission Rates'!$A:$C,2,FALSE),"")</f>
        <v/>
      </c>
      <c r="E203" s="8">
        <f>IFERROR(VLOOKUP(B203,'Commission Rates'!$A:$C,3,FALSE),0)</f>
        <v>0</v>
      </c>
      <c r="F203" s="8" t="str">
        <f>IF(B203="","",D203*E203)</f>
        <v/>
      </c>
      <c r="H203" t="str">
        <f>IF(A203="","",WEEKNUM(A203,1))</f>
        <v/>
      </c>
      <c r="I203" t="str">
        <f>IFERROR(INDEX('Pay Calendar'!$B$2:$B$10,MATCH(H203,'Pay Calendar'!$A$2:$A$10,0)),"")</f>
        <v/>
      </c>
    </row>
    <row r="204" spans="1:9" x14ac:dyDescent="0.2">
      <c r="A204" s="7"/>
      <c r="C204" t="str">
        <f>IFERROR(VLOOKUP(B204,'Commission Rates'!$A:$C,2,FALSE),"")</f>
        <v/>
      </c>
      <c r="E204" s="8">
        <f>IFERROR(VLOOKUP(B204,'Commission Rates'!$A:$C,3,FALSE),0)</f>
        <v>0</v>
      </c>
      <c r="F204" s="8" t="str">
        <f>IF(B204="","",D204*E204)</f>
        <v/>
      </c>
      <c r="H204" t="str">
        <f>IF(A204="","",WEEKNUM(A204,1))</f>
        <v/>
      </c>
      <c r="I204" t="str">
        <f>IFERROR(INDEX('Pay Calendar'!$B$2:$B$10,MATCH(H204,'Pay Calendar'!$A$2:$A$10,0)),"")</f>
        <v/>
      </c>
    </row>
    <row r="205" spans="1:9" x14ac:dyDescent="0.2">
      <c r="A205" s="7"/>
      <c r="C205" t="str">
        <f>IFERROR(VLOOKUP(B205,'Commission Rates'!$A:$C,2,FALSE),"")</f>
        <v/>
      </c>
      <c r="E205" s="8">
        <f>IFERROR(VLOOKUP(B205,'Commission Rates'!$A:$C,3,FALSE),0)</f>
        <v>0</v>
      </c>
      <c r="F205" s="8" t="str">
        <f>IF(B205="","",D205*E205)</f>
        <v/>
      </c>
      <c r="H205" t="str">
        <f>IF(A205="","",WEEKNUM(A205,1))</f>
        <v/>
      </c>
      <c r="I205" t="str">
        <f>IFERROR(INDEX('Pay Calendar'!$B$2:$B$10,MATCH(H205,'Pay Calendar'!$A$2:$A$10,0)),"")</f>
        <v/>
      </c>
    </row>
    <row r="206" spans="1:9" x14ac:dyDescent="0.2">
      <c r="A206" s="7"/>
      <c r="C206" t="str">
        <f>IFERROR(VLOOKUP(B206,'Commission Rates'!$A:$C,2,FALSE),"")</f>
        <v/>
      </c>
      <c r="E206" s="8">
        <f>IFERROR(VLOOKUP(B206,'Commission Rates'!$A:$C,3,FALSE),0)</f>
        <v>0</v>
      </c>
      <c r="F206" s="8" t="str">
        <f>IF(B206="","",D206*E206)</f>
        <v/>
      </c>
      <c r="H206" t="str">
        <f>IF(A206="","",WEEKNUM(A206,1))</f>
        <v/>
      </c>
      <c r="I206" t="str">
        <f>IFERROR(INDEX('Pay Calendar'!$B$2:$B$10,MATCH(H206,'Pay Calendar'!$A$2:$A$10,0)),"")</f>
        <v/>
      </c>
    </row>
    <row r="207" spans="1:9" x14ac:dyDescent="0.2">
      <c r="A207" s="7"/>
      <c r="C207" t="str">
        <f>IFERROR(VLOOKUP(B207,'Commission Rates'!$A:$C,2,FALSE),"")</f>
        <v/>
      </c>
      <c r="E207" s="8">
        <f>IFERROR(VLOOKUP(B207,'Commission Rates'!$A:$C,3,FALSE),0)</f>
        <v>0</v>
      </c>
      <c r="F207" s="8" t="str">
        <f>IF(B207="","",D207*E207)</f>
        <v/>
      </c>
      <c r="H207" t="str">
        <f>IF(A207="","",WEEKNUM(A207,1))</f>
        <v/>
      </c>
      <c r="I207" t="str">
        <f>IFERROR(INDEX('Pay Calendar'!$B$2:$B$10,MATCH(H207,'Pay Calendar'!$A$2:$A$10,0)),"")</f>
        <v/>
      </c>
    </row>
    <row r="208" spans="1:9" x14ac:dyDescent="0.2">
      <c r="A208" s="7"/>
      <c r="C208" t="str">
        <f>IFERROR(VLOOKUP(B208,'Commission Rates'!$A:$C,2,FALSE),"")</f>
        <v/>
      </c>
      <c r="E208" s="8">
        <f>IFERROR(VLOOKUP(B208,'Commission Rates'!$A:$C,3,FALSE),0)</f>
        <v>0</v>
      </c>
      <c r="F208" s="8" t="str">
        <f>IF(B208="","",D208*E208)</f>
        <v/>
      </c>
      <c r="H208" t="str">
        <f>IF(A208="","",WEEKNUM(A208,1))</f>
        <v/>
      </c>
      <c r="I208" t="str">
        <f>IFERROR(INDEX('Pay Calendar'!$B$2:$B$10,MATCH(H208,'Pay Calendar'!$A$2:$A$10,0)),"")</f>
        <v/>
      </c>
    </row>
    <row r="209" spans="1:9" x14ac:dyDescent="0.2">
      <c r="A209" s="7"/>
      <c r="C209" t="str">
        <f>IFERROR(VLOOKUP(B209,'Commission Rates'!$A:$C,2,FALSE),"")</f>
        <v/>
      </c>
      <c r="E209" s="8">
        <f>IFERROR(VLOOKUP(B209,'Commission Rates'!$A:$C,3,FALSE),0)</f>
        <v>0</v>
      </c>
      <c r="F209" s="8" t="str">
        <f>IF(B209="","",D209*E209)</f>
        <v/>
      </c>
      <c r="H209" t="str">
        <f>IF(A209="","",WEEKNUM(A209,1))</f>
        <v/>
      </c>
      <c r="I209" t="str">
        <f>IFERROR(INDEX('Pay Calendar'!$B$2:$B$10,MATCH(H209,'Pay Calendar'!$A$2:$A$10,0)),"")</f>
        <v/>
      </c>
    </row>
    <row r="210" spans="1:9" x14ac:dyDescent="0.2">
      <c r="A210" s="7"/>
      <c r="C210" t="str">
        <f>IFERROR(VLOOKUP(B210,'Commission Rates'!$A:$C,2,FALSE),"")</f>
        <v/>
      </c>
      <c r="E210" s="8">
        <f>IFERROR(VLOOKUP(B210,'Commission Rates'!$A:$C,3,FALSE),0)</f>
        <v>0</v>
      </c>
      <c r="F210" s="8" t="str">
        <f>IF(B210="","",D210*E210)</f>
        <v/>
      </c>
      <c r="H210" t="str">
        <f>IF(A210="","",WEEKNUM(A210,1))</f>
        <v/>
      </c>
      <c r="I210" t="str">
        <f>IFERROR(INDEX('Pay Calendar'!$B$2:$B$10,MATCH(H210,'Pay Calendar'!$A$2:$A$10,0)),"")</f>
        <v/>
      </c>
    </row>
    <row r="211" spans="1:9" x14ac:dyDescent="0.2">
      <c r="A211" s="7"/>
      <c r="C211" t="str">
        <f>IFERROR(VLOOKUP(B211,'Commission Rates'!$A:$C,2,FALSE),"")</f>
        <v/>
      </c>
      <c r="E211" s="8">
        <f>IFERROR(VLOOKUP(B211,'Commission Rates'!$A:$C,3,FALSE),0)</f>
        <v>0</v>
      </c>
      <c r="F211" s="8" t="str">
        <f>IF(B211="","",D211*E211)</f>
        <v/>
      </c>
      <c r="H211" t="str">
        <f>IF(A211="","",WEEKNUM(A211,1))</f>
        <v/>
      </c>
      <c r="I211" t="str">
        <f>IFERROR(INDEX('Pay Calendar'!$B$2:$B$10,MATCH(H211,'Pay Calendar'!$A$2:$A$10,0)),"")</f>
        <v/>
      </c>
    </row>
    <row r="212" spans="1:9" x14ac:dyDescent="0.2">
      <c r="A212" s="7"/>
      <c r="C212" t="str">
        <f>IFERROR(VLOOKUP(B212,'Commission Rates'!$A:$C,2,FALSE),"")</f>
        <v/>
      </c>
      <c r="E212" s="8">
        <f>IFERROR(VLOOKUP(B212,'Commission Rates'!$A:$C,3,FALSE),0)</f>
        <v>0</v>
      </c>
      <c r="F212" s="8" t="str">
        <f>IF(B212="","",D212*E212)</f>
        <v/>
      </c>
      <c r="H212" t="str">
        <f>IF(A212="","",WEEKNUM(A212,1))</f>
        <v/>
      </c>
      <c r="I212" t="str">
        <f>IFERROR(INDEX('Pay Calendar'!$B$2:$B$10,MATCH(H212,'Pay Calendar'!$A$2:$A$10,0)),"")</f>
        <v/>
      </c>
    </row>
    <row r="213" spans="1:9" x14ac:dyDescent="0.2">
      <c r="A213" s="7"/>
      <c r="C213" t="str">
        <f>IFERROR(VLOOKUP(B213,'Commission Rates'!$A:$C,2,FALSE),"")</f>
        <v/>
      </c>
      <c r="E213" s="8">
        <f>IFERROR(VLOOKUP(B213,'Commission Rates'!$A:$C,3,FALSE),0)</f>
        <v>0</v>
      </c>
      <c r="F213" s="8" t="str">
        <f>IF(B213="","",D213*E213)</f>
        <v/>
      </c>
      <c r="H213" t="str">
        <f>IF(A213="","",WEEKNUM(A213,1))</f>
        <v/>
      </c>
      <c r="I213" t="str">
        <f>IFERROR(INDEX('Pay Calendar'!$B$2:$B$10,MATCH(H213,'Pay Calendar'!$A$2:$A$10,0)),"")</f>
        <v/>
      </c>
    </row>
    <row r="214" spans="1:9" x14ac:dyDescent="0.2">
      <c r="A214" s="7"/>
      <c r="C214" t="str">
        <f>IFERROR(VLOOKUP(B214,'Commission Rates'!$A:$C,2,FALSE),"")</f>
        <v/>
      </c>
      <c r="E214" s="8">
        <f>IFERROR(VLOOKUP(B214,'Commission Rates'!$A:$C,3,FALSE),0)</f>
        <v>0</v>
      </c>
      <c r="F214" s="8" t="str">
        <f>IF(B214="","",D214*E214)</f>
        <v/>
      </c>
      <c r="H214" t="str">
        <f>IF(A214="","",WEEKNUM(A214,1))</f>
        <v/>
      </c>
      <c r="I214" t="str">
        <f>IFERROR(INDEX('Pay Calendar'!$B$2:$B$10,MATCH(H214,'Pay Calendar'!$A$2:$A$10,0)),"")</f>
        <v/>
      </c>
    </row>
    <row r="215" spans="1:9" x14ac:dyDescent="0.2">
      <c r="A215" s="7"/>
      <c r="C215" t="str">
        <f>IFERROR(VLOOKUP(B215,'Commission Rates'!$A:$C,2,FALSE),"")</f>
        <v/>
      </c>
      <c r="E215" s="8">
        <f>IFERROR(VLOOKUP(B215,'Commission Rates'!$A:$C,3,FALSE),0)</f>
        <v>0</v>
      </c>
      <c r="F215" s="8" t="str">
        <f>IF(B215="","",D215*E215)</f>
        <v/>
      </c>
      <c r="H215" t="str">
        <f>IF(A215="","",WEEKNUM(A215,1))</f>
        <v/>
      </c>
      <c r="I215" t="str">
        <f>IFERROR(INDEX('Pay Calendar'!$B$2:$B$10,MATCH(H215,'Pay Calendar'!$A$2:$A$10,0)),"")</f>
        <v/>
      </c>
    </row>
    <row r="216" spans="1:9" x14ac:dyDescent="0.2">
      <c r="A216" s="7"/>
      <c r="C216" t="str">
        <f>IFERROR(VLOOKUP(B216,'Commission Rates'!$A:$C,2,FALSE),"")</f>
        <v/>
      </c>
      <c r="E216" s="8">
        <f>IFERROR(VLOOKUP(B216,'Commission Rates'!$A:$C,3,FALSE),0)</f>
        <v>0</v>
      </c>
      <c r="F216" s="8" t="str">
        <f>IF(B216="","",D216*E216)</f>
        <v/>
      </c>
      <c r="H216" t="str">
        <f>IF(A216="","",WEEKNUM(A216,1))</f>
        <v/>
      </c>
      <c r="I216" t="str">
        <f>IFERROR(INDEX('Pay Calendar'!$B$2:$B$10,MATCH(H216,'Pay Calendar'!$A$2:$A$10,0)),"")</f>
        <v/>
      </c>
    </row>
    <row r="217" spans="1:9" x14ac:dyDescent="0.2">
      <c r="A217" s="7"/>
      <c r="C217" t="str">
        <f>IFERROR(VLOOKUP(B217,'Commission Rates'!$A:$C,2,FALSE),"")</f>
        <v/>
      </c>
      <c r="E217" s="8">
        <f>IFERROR(VLOOKUP(B217,'Commission Rates'!$A:$C,3,FALSE),0)</f>
        <v>0</v>
      </c>
      <c r="F217" s="8" t="str">
        <f>IF(B217="","",D217*E217)</f>
        <v/>
      </c>
      <c r="H217" t="str">
        <f>IF(A217="","",WEEKNUM(A217,1))</f>
        <v/>
      </c>
      <c r="I217" t="str">
        <f>IFERROR(INDEX('Pay Calendar'!$B$2:$B$10,MATCH(H217,'Pay Calendar'!$A$2:$A$10,0)),"")</f>
        <v/>
      </c>
    </row>
    <row r="218" spans="1:9" x14ac:dyDescent="0.2">
      <c r="A218" s="7"/>
      <c r="C218" t="str">
        <f>IFERROR(VLOOKUP(B218,'Commission Rates'!$A:$C,2,FALSE),"")</f>
        <v/>
      </c>
      <c r="E218" s="8">
        <f>IFERROR(VLOOKUP(B218,'Commission Rates'!$A:$C,3,FALSE),0)</f>
        <v>0</v>
      </c>
      <c r="F218" s="8" t="str">
        <f>IF(B218="","",D218*E218)</f>
        <v/>
      </c>
      <c r="H218" t="str">
        <f>IF(A218="","",WEEKNUM(A218,1))</f>
        <v/>
      </c>
      <c r="I218" t="str">
        <f>IFERROR(INDEX('Pay Calendar'!$B$2:$B$10,MATCH(H218,'Pay Calendar'!$A$2:$A$10,0)),"")</f>
        <v/>
      </c>
    </row>
    <row r="219" spans="1:9" x14ac:dyDescent="0.2">
      <c r="A219" s="7"/>
      <c r="C219" t="str">
        <f>IFERROR(VLOOKUP(B219,'Commission Rates'!$A:$C,2,FALSE),"")</f>
        <v/>
      </c>
      <c r="E219" s="8">
        <f>IFERROR(VLOOKUP(B219,'Commission Rates'!$A:$C,3,FALSE),0)</f>
        <v>0</v>
      </c>
      <c r="F219" s="8" t="str">
        <f>IF(B219="","",D219*E219)</f>
        <v/>
      </c>
      <c r="H219" t="str">
        <f>IF(A219="","",WEEKNUM(A219,1))</f>
        <v/>
      </c>
      <c r="I219" t="str">
        <f>IFERROR(INDEX('Pay Calendar'!$B$2:$B$10,MATCH(H219,'Pay Calendar'!$A$2:$A$10,0)),"")</f>
        <v/>
      </c>
    </row>
    <row r="220" spans="1:9" x14ac:dyDescent="0.2">
      <c r="A220" s="7"/>
      <c r="C220" t="str">
        <f>IFERROR(VLOOKUP(B220,'Commission Rates'!$A:$C,2,FALSE),"")</f>
        <v/>
      </c>
      <c r="E220" s="8">
        <f>IFERROR(VLOOKUP(B220,'Commission Rates'!$A:$C,3,FALSE),0)</f>
        <v>0</v>
      </c>
      <c r="F220" s="8" t="str">
        <f>IF(B220="","",D220*E220)</f>
        <v/>
      </c>
      <c r="H220" t="str">
        <f>IF(A220="","",WEEKNUM(A220,1))</f>
        <v/>
      </c>
      <c r="I220" t="str">
        <f>IFERROR(INDEX('Pay Calendar'!$B$2:$B$10,MATCH(H220,'Pay Calendar'!$A$2:$A$10,0)),"")</f>
        <v/>
      </c>
    </row>
    <row r="221" spans="1:9" x14ac:dyDescent="0.2">
      <c r="A221" s="7"/>
      <c r="C221" t="str">
        <f>IFERROR(VLOOKUP(B221,'Commission Rates'!$A:$C,2,FALSE),"")</f>
        <v/>
      </c>
      <c r="E221" s="8">
        <f>IFERROR(VLOOKUP(B221,'Commission Rates'!$A:$C,3,FALSE),0)</f>
        <v>0</v>
      </c>
      <c r="F221" s="8" t="str">
        <f>IF(B221="","",D221*E221)</f>
        <v/>
      </c>
      <c r="H221" t="str">
        <f>IF(A221="","",WEEKNUM(A221,1))</f>
        <v/>
      </c>
      <c r="I221" t="str">
        <f>IFERROR(INDEX('Pay Calendar'!$B$2:$B$10,MATCH(H221,'Pay Calendar'!$A$2:$A$10,0)),"")</f>
        <v/>
      </c>
    </row>
    <row r="222" spans="1:9" x14ac:dyDescent="0.2">
      <c r="A222" s="7"/>
      <c r="C222" t="str">
        <f>IFERROR(VLOOKUP(B222,'Commission Rates'!$A:$C,2,FALSE),"")</f>
        <v/>
      </c>
      <c r="E222" s="8">
        <f>IFERROR(VLOOKUP(B222,'Commission Rates'!$A:$C,3,FALSE),0)</f>
        <v>0</v>
      </c>
      <c r="F222" s="8" t="str">
        <f>IF(B222="","",D222*E222)</f>
        <v/>
      </c>
      <c r="H222" t="str">
        <f>IF(A222="","",WEEKNUM(A222,1))</f>
        <v/>
      </c>
      <c r="I222" t="str">
        <f>IFERROR(INDEX('Pay Calendar'!$B$2:$B$10,MATCH(H222,'Pay Calendar'!$A$2:$A$10,0)),"")</f>
        <v/>
      </c>
    </row>
    <row r="223" spans="1:9" x14ac:dyDescent="0.2">
      <c r="A223" s="7"/>
      <c r="C223" t="str">
        <f>IFERROR(VLOOKUP(B223,'Commission Rates'!$A:$C,2,FALSE),"")</f>
        <v/>
      </c>
      <c r="E223" s="8">
        <f>IFERROR(VLOOKUP(B223,'Commission Rates'!$A:$C,3,FALSE),0)</f>
        <v>0</v>
      </c>
      <c r="F223" s="8" t="str">
        <f>IF(B223="","",D223*E223)</f>
        <v/>
      </c>
      <c r="H223" t="str">
        <f>IF(A223="","",WEEKNUM(A223,1))</f>
        <v/>
      </c>
      <c r="I223" t="str">
        <f>IFERROR(INDEX('Pay Calendar'!$B$2:$B$10,MATCH(H223,'Pay Calendar'!$A$2:$A$10,0)),"")</f>
        <v/>
      </c>
    </row>
    <row r="224" spans="1:9" x14ac:dyDescent="0.2">
      <c r="A224" s="7"/>
      <c r="C224" t="str">
        <f>IFERROR(VLOOKUP(B224,'Commission Rates'!$A:$C,2,FALSE),"")</f>
        <v/>
      </c>
      <c r="E224" s="8">
        <f>IFERROR(VLOOKUP(B224,'Commission Rates'!$A:$C,3,FALSE),0)</f>
        <v>0</v>
      </c>
      <c r="F224" s="8" t="str">
        <f>IF(B224="","",D224*E224)</f>
        <v/>
      </c>
      <c r="H224" t="str">
        <f>IF(A224="","",WEEKNUM(A224,1))</f>
        <v/>
      </c>
      <c r="I224" t="str">
        <f>IFERROR(INDEX('Pay Calendar'!$B$2:$B$10,MATCH(H224,'Pay Calendar'!$A$2:$A$10,0)),"")</f>
        <v/>
      </c>
    </row>
    <row r="225" spans="1:9" x14ac:dyDescent="0.2">
      <c r="A225" s="7"/>
      <c r="C225" t="str">
        <f>IFERROR(VLOOKUP(B225,'Commission Rates'!$A:$C,2,FALSE),"")</f>
        <v/>
      </c>
      <c r="E225" s="8">
        <f>IFERROR(VLOOKUP(B225,'Commission Rates'!$A:$C,3,FALSE),0)</f>
        <v>0</v>
      </c>
      <c r="F225" s="8" t="str">
        <f>IF(B225="","",D225*E225)</f>
        <v/>
      </c>
      <c r="H225" t="str">
        <f>IF(A225="","",WEEKNUM(A225,1))</f>
        <v/>
      </c>
      <c r="I225" t="str">
        <f>IFERROR(INDEX('Pay Calendar'!$B$2:$B$10,MATCH(H225,'Pay Calendar'!$A$2:$A$10,0)),"")</f>
        <v/>
      </c>
    </row>
    <row r="226" spans="1:9" x14ac:dyDescent="0.2">
      <c r="A226" s="7"/>
      <c r="C226" t="str">
        <f>IFERROR(VLOOKUP(B226,'Commission Rates'!$A:$C,2,FALSE),"")</f>
        <v/>
      </c>
      <c r="E226" s="8">
        <f>IFERROR(VLOOKUP(B226,'Commission Rates'!$A:$C,3,FALSE),0)</f>
        <v>0</v>
      </c>
      <c r="F226" s="8" t="str">
        <f>IF(B226="","",D226*E226)</f>
        <v/>
      </c>
      <c r="H226" t="str">
        <f>IF(A226="","",WEEKNUM(A226,1))</f>
        <v/>
      </c>
      <c r="I226" t="str">
        <f>IFERROR(INDEX('Pay Calendar'!$B$2:$B$10,MATCH(H226,'Pay Calendar'!$A$2:$A$10,0)),"")</f>
        <v/>
      </c>
    </row>
    <row r="227" spans="1:9" x14ac:dyDescent="0.2">
      <c r="A227" s="7"/>
      <c r="C227" t="str">
        <f>IFERROR(VLOOKUP(B227,'Commission Rates'!$A:$C,2,FALSE),"")</f>
        <v/>
      </c>
      <c r="E227" s="8">
        <f>IFERROR(VLOOKUP(B227,'Commission Rates'!$A:$C,3,FALSE),0)</f>
        <v>0</v>
      </c>
      <c r="F227" s="8" t="str">
        <f>IF(B227="","",D227*E227)</f>
        <v/>
      </c>
      <c r="H227" t="str">
        <f>IF(A227="","",WEEKNUM(A227,1))</f>
        <v/>
      </c>
      <c r="I227" t="str">
        <f>IFERROR(INDEX('Pay Calendar'!$B$2:$B$10,MATCH(H227,'Pay Calendar'!$A$2:$A$10,0)),"")</f>
        <v/>
      </c>
    </row>
    <row r="228" spans="1:9" x14ac:dyDescent="0.2">
      <c r="A228" s="7"/>
      <c r="C228" t="str">
        <f>IFERROR(VLOOKUP(B228,'Commission Rates'!$A:$C,2,FALSE),"")</f>
        <v/>
      </c>
      <c r="E228" s="8">
        <f>IFERROR(VLOOKUP(B228,'Commission Rates'!$A:$C,3,FALSE),0)</f>
        <v>0</v>
      </c>
      <c r="F228" s="8" t="str">
        <f>IF(B228="","",D228*E228)</f>
        <v/>
      </c>
      <c r="H228" t="str">
        <f>IF(A228="","",WEEKNUM(A228,1))</f>
        <v/>
      </c>
      <c r="I228" t="str">
        <f>IFERROR(INDEX('Pay Calendar'!$B$2:$B$10,MATCH(H228,'Pay Calendar'!$A$2:$A$10,0)),"")</f>
        <v/>
      </c>
    </row>
    <row r="229" spans="1:9" x14ac:dyDescent="0.2">
      <c r="A229" s="7"/>
      <c r="C229" t="str">
        <f>IFERROR(VLOOKUP(B229,'Commission Rates'!$A:$C,2,FALSE),"")</f>
        <v/>
      </c>
      <c r="E229" s="8">
        <f>IFERROR(VLOOKUP(B229,'Commission Rates'!$A:$C,3,FALSE),0)</f>
        <v>0</v>
      </c>
      <c r="F229" s="8" t="str">
        <f>IF(B229="","",D229*E229)</f>
        <v/>
      </c>
      <c r="H229" t="str">
        <f>IF(A229="","",WEEKNUM(A229,1))</f>
        <v/>
      </c>
      <c r="I229" t="str">
        <f>IFERROR(INDEX('Pay Calendar'!$B$2:$B$10,MATCH(H229,'Pay Calendar'!$A$2:$A$10,0)),"")</f>
        <v/>
      </c>
    </row>
    <row r="230" spans="1:9" x14ac:dyDescent="0.2">
      <c r="A230" s="7"/>
      <c r="C230" t="str">
        <f>IFERROR(VLOOKUP(B230,'Commission Rates'!$A:$C,2,FALSE),"")</f>
        <v/>
      </c>
      <c r="E230" s="8">
        <f>IFERROR(VLOOKUP(B230,'Commission Rates'!$A:$C,3,FALSE),0)</f>
        <v>0</v>
      </c>
      <c r="F230" s="8" t="str">
        <f>IF(B230="","",D230*E230)</f>
        <v/>
      </c>
      <c r="H230" t="str">
        <f>IF(A230="","",WEEKNUM(A230,1))</f>
        <v/>
      </c>
      <c r="I230" t="str">
        <f>IFERROR(INDEX('Pay Calendar'!$B$2:$B$10,MATCH(H230,'Pay Calendar'!$A$2:$A$10,0)),"")</f>
        <v/>
      </c>
    </row>
    <row r="231" spans="1:9" x14ac:dyDescent="0.2">
      <c r="A231" s="7"/>
      <c r="C231" t="str">
        <f>IFERROR(VLOOKUP(B231,'Commission Rates'!$A:$C,2,FALSE),"")</f>
        <v/>
      </c>
      <c r="E231" s="8">
        <f>IFERROR(VLOOKUP(B231,'Commission Rates'!$A:$C,3,FALSE),0)</f>
        <v>0</v>
      </c>
      <c r="F231" s="8" t="str">
        <f>IF(B231="","",D231*E231)</f>
        <v/>
      </c>
      <c r="H231" t="str">
        <f>IF(A231="","",WEEKNUM(A231,1))</f>
        <v/>
      </c>
      <c r="I231" t="str">
        <f>IFERROR(INDEX('Pay Calendar'!$B$2:$B$10,MATCH(H231,'Pay Calendar'!$A$2:$A$10,0)),"")</f>
        <v/>
      </c>
    </row>
    <row r="232" spans="1:9" x14ac:dyDescent="0.2">
      <c r="A232" s="7"/>
      <c r="C232" t="str">
        <f>IFERROR(VLOOKUP(B232,'Commission Rates'!$A:$C,2,FALSE),"")</f>
        <v/>
      </c>
      <c r="E232" s="8">
        <f>IFERROR(VLOOKUP(B232,'Commission Rates'!$A:$C,3,FALSE),0)</f>
        <v>0</v>
      </c>
      <c r="F232" s="8" t="str">
        <f>IF(B232="","",D232*E232)</f>
        <v/>
      </c>
      <c r="H232" t="str">
        <f>IF(A232="","",WEEKNUM(A232,1))</f>
        <v/>
      </c>
      <c r="I232" t="str">
        <f>IFERROR(INDEX('Pay Calendar'!$B$2:$B$10,MATCH(H232,'Pay Calendar'!$A$2:$A$10,0)),"")</f>
        <v/>
      </c>
    </row>
    <row r="233" spans="1:9" x14ac:dyDescent="0.2">
      <c r="A233" s="7"/>
      <c r="C233" t="str">
        <f>IFERROR(VLOOKUP(B233,'Commission Rates'!$A:$C,2,FALSE),"")</f>
        <v/>
      </c>
      <c r="E233" s="8">
        <f>IFERROR(VLOOKUP(B233,'Commission Rates'!$A:$C,3,FALSE),0)</f>
        <v>0</v>
      </c>
      <c r="F233" s="8" t="str">
        <f>IF(B233="","",D233*E233)</f>
        <v/>
      </c>
      <c r="H233" t="str">
        <f>IF(A233="","",WEEKNUM(A233,1))</f>
        <v/>
      </c>
      <c r="I233" t="str">
        <f>IFERROR(INDEX('Pay Calendar'!$B$2:$B$10,MATCH(H233,'Pay Calendar'!$A$2:$A$10,0)),"")</f>
        <v/>
      </c>
    </row>
    <row r="234" spans="1:9" x14ac:dyDescent="0.2">
      <c r="A234" s="7"/>
      <c r="C234" t="str">
        <f>IFERROR(VLOOKUP(B234,'Commission Rates'!$A:$C,2,FALSE),"")</f>
        <v/>
      </c>
      <c r="E234" s="8">
        <f>IFERROR(VLOOKUP(B234,'Commission Rates'!$A:$C,3,FALSE),0)</f>
        <v>0</v>
      </c>
      <c r="F234" s="8" t="str">
        <f>IF(B234="","",D234*E234)</f>
        <v/>
      </c>
      <c r="H234" t="str">
        <f>IF(A234="","",WEEKNUM(A234,1))</f>
        <v/>
      </c>
      <c r="I234" t="str">
        <f>IFERROR(INDEX('Pay Calendar'!$B$2:$B$10,MATCH(H234,'Pay Calendar'!$A$2:$A$10,0)),"")</f>
        <v/>
      </c>
    </row>
    <row r="235" spans="1:9" x14ac:dyDescent="0.2">
      <c r="A235" s="7"/>
      <c r="C235" t="str">
        <f>IFERROR(VLOOKUP(B235,'Commission Rates'!$A:$C,2,FALSE),"")</f>
        <v/>
      </c>
      <c r="E235" s="8">
        <f>IFERROR(VLOOKUP(B235,'Commission Rates'!$A:$C,3,FALSE),0)</f>
        <v>0</v>
      </c>
      <c r="F235" s="8" t="str">
        <f>IF(B235="","",D235*E235)</f>
        <v/>
      </c>
      <c r="H235" t="str">
        <f>IF(A235="","",WEEKNUM(A235,1))</f>
        <v/>
      </c>
      <c r="I235" t="str">
        <f>IFERROR(INDEX('Pay Calendar'!$B$2:$B$10,MATCH(H235,'Pay Calendar'!$A$2:$A$10,0)),"")</f>
        <v/>
      </c>
    </row>
    <row r="236" spans="1:9" x14ac:dyDescent="0.2">
      <c r="A236" s="7"/>
      <c r="C236" t="str">
        <f>IFERROR(VLOOKUP(B236,'Commission Rates'!$A:$C,2,FALSE),"")</f>
        <v/>
      </c>
      <c r="E236" s="8">
        <f>IFERROR(VLOOKUP(B236,'Commission Rates'!$A:$C,3,FALSE),0)</f>
        <v>0</v>
      </c>
      <c r="F236" s="8" t="str">
        <f>IF(B236="","",D236*E236)</f>
        <v/>
      </c>
      <c r="H236" t="str">
        <f>IF(A236="","",WEEKNUM(A236,1))</f>
        <v/>
      </c>
      <c r="I236" t="str">
        <f>IFERROR(INDEX('Pay Calendar'!$B$2:$B$10,MATCH(H236,'Pay Calendar'!$A$2:$A$10,0)),"")</f>
        <v/>
      </c>
    </row>
    <row r="237" spans="1:9" x14ac:dyDescent="0.2">
      <c r="A237" s="7"/>
      <c r="C237" t="str">
        <f>IFERROR(VLOOKUP(B237,'Commission Rates'!$A:$C,2,FALSE),"")</f>
        <v/>
      </c>
      <c r="E237" s="8">
        <f>IFERROR(VLOOKUP(B237,'Commission Rates'!$A:$C,3,FALSE),0)</f>
        <v>0</v>
      </c>
      <c r="F237" s="8" t="str">
        <f>IF(B237="","",D237*E237)</f>
        <v/>
      </c>
      <c r="H237" t="str">
        <f>IF(A237="","",WEEKNUM(A237,1))</f>
        <v/>
      </c>
      <c r="I237" t="str">
        <f>IFERROR(INDEX('Pay Calendar'!$B$2:$B$10,MATCH(H237,'Pay Calendar'!$A$2:$A$10,0)),"")</f>
        <v/>
      </c>
    </row>
    <row r="238" spans="1:9" x14ac:dyDescent="0.2">
      <c r="A238" s="7"/>
      <c r="C238" t="str">
        <f>IFERROR(VLOOKUP(B238,'Commission Rates'!$A:$C,2,FALSE),"")</f>
        <v/>
      </c>
      <c r="E238" s="8">
        <f>IFERROR(VLOOKUP(B238,'Commission Rates'!$A:$C,3,FALSE),0)</f>
        <v>0</v>
      </c>
      <c r="F238" s="8" t="str">
        <f>IF(B238="","",D238*E238)</f>
        <v/>
      </c>
      <c r="H238" t="str">
        <f>IF(A238="","",WEEKNUM(A238,1))</f>
        <v/>
      </c>
      <c r="I238" t="str">
        <f>IFERROR(INDEX('Pay Calendar'!$B$2:$B$10,MATCH(H238,'Pay Calendar'!$A$2:$A$10,0)),"")</f>
        <v/>
      </c>
    </row>
    <row r="239" spans="1:9" x14ac:dyDescent="0.2">
      <c r="A239" s="7"/>
      <c r="C239" t="str">
        <f>IFERROR(VLOOKUP(B239,'Commission Rates'!$A:$C,2,FALSE),"")</f>
        <v/>
      </c>
      <c r="E239" s="8">
        <f>IFERROR(VLOOKUP(B239,'Commission Rates'!$A:$C,3,FALSE),0)</f>
        <v>0</v>
      </c>
      <c r="F239" s="8" t="str">
        <f>IF(B239="","",D239*E239)</f>
        <v/>
      </c>
      <c r="H239" t="str">
        <f>IF(A239="","",WEEKNUM(A239,1))</f>
        <v/>
      </c>
      <c r="I239" t="str">
        <f>IFERROR(INDEX('Pay Calendar'!$B$2:$B$10,MATCH(H239,'Pay Calendar'!$A$2:$A$10,0)),"")</f>
        <v/>
      </c>
    </row>
    <row r="240" spans="1:9" x14ac:dyDescent="0.2">
      <c r="A240" s="7"/>
      <c r="C240" t="str">
        <f>IFERROR(VLOOKUP(B240,'Commission Rates'!$A:$C,2,FALSE),"")</f>
        <v/>
      </c>
      <c r="E240" s="8">
        <f>IFERROR(VLOOKUP(B240,'Commission Rates'!$A:$C,3,FALSE),0)</f>
        <v>0</v>
      </c>
      <c r="F240" s="8" t="str">
        <f>IF(B240="","",D240*E240)</f>
        <v/>
      </c>
      <c r="H240" t="str">
        <f>IF(A240="","",WEEKNUM(A240,1))</f>
        <v/>
      </c>
      <c r="I240" t="str">
        <f>IFERROR(INDEX('Pay Calendar'!$B$2:$B$10,MATCH(H240,'Pay Calendar'!$A$2:$A$10,0)),"")</f>
        <v/>
      </c>
    </row>
    <row r="241" spans="1:9" x14ac:dyDescent="0.2">
      <c r="A241" s="7"/>
      <c r="C241" t="str">
        <f>IFERROR(VLOOKUP(B241,'Commission Rates'!$A:$C,2,FALSE),"")</f>
        <v/>
      </c>
      <c r="E241" s="8">
        <f>IFERROR(VLOOKUP(B241,'Commission Rates'!$A:$C,3,FALSE),0)</f>
        <v>0</v>
      </c>
      <c r="F241" s="8" t="str">
        <f>IF(B241="","",D241*E241)</f>
        <v/>
      </c>
      <c r="H241" t="str">
        <f>IF(A241="","",WEEKNUM(A241,1))</f>
        <v/>
      </c>
      <c r="I241" t="str">
        <f>IFERROR(INDEX('Pay Calendar'!$B$2:$B$10,MATCH(H241,'Pay Calendar'!$A$2:$A$10,0)),"")</f>
        <v/>
      </c>
    </row>
    <row r="242" spans="1:9" x14ac:dyDescent="0.2">
      <c r="A242" s="7"/>
      <c r="C242" t="str">
        <f>IFERROR(VLOOKUP(B242,'Commission Rates'!$A:$C,2,FALSE),"")</f>
        <v/>
      </c>
      <c r="E242" s="8">
        <f>IFERROR(VLOOKUP(B242,'Commission Rates'!$A:$C,3,FALSE),0)</f>
        <v>0</v>
      </c>
      <c r="F242" s="8" t="str">
        <f>IF(B242="","",D242*E242)</f>
        <v/>
      </c>
      <c r="H242" t="str">
        <f>IF(A242="","",WEEKNUM(A242,1))</f>
        <v/>
      </c>
      <c r="I242" t="str">
        <f>IFERROR(INDEX('Pay Calendar'!$B$2:$B$10,MATCH(H242,'Pay Calendar'!$A$2:$A$10,0)),"")</f>
        <v/>
      </c>
    </row>
    <row r="243" spans="1:9" x14ac:dyDescent="0.2">
      <c r="A243" s="7"/>
      <c r="C243" t="str">
        <f>IFERROR(VLOOKUP(B243,'Commission Rates'!$A:$C,2,FALSE),"")</f>
        <v/>
      </c>
      <c r="E243" s="8">
        <f>IFERROR(VLOOKUP(B243,'Commission Rates'!$A:$C,3,FALSE),0)</f>
        <v>0</v>
      </c>
      <c r="F243" s="8" t="str">
        <f>IF(B243="","",D243*E243)</f>
        <v/>
      </c>
      <c r="H243" t="str">
        <f>IF(A243="","",WEEKNUM(A243,1))</f>
        <v/>
      </c>
      <c r="I243" t="str">
        <f>IFERROR(INDEX('Pay Calendar'!$B$2:$B$10,MATCH(H243,'Pay Calendar'!$A$2:$A$10,0)),"")</f>
        <v/>
      </c>
    </row>
    <row r="244" spans="1:9" x14ac:dyDescent="0.2">
      <c r="A244" s="7"/>
      <c r="C244" t="str">
        <f>IFERROR(VLOOKUP(B244,'Commission Rates'!$A:$C,2,FALSE),"")</f>
        <v/>
      </c>
      <c r="E244" s="8">
        <f>IFERROR(VLOOKUP(B244,'Commission Rates'!$A:$C,3,FALSE),0)</f>
        <v>0</v>
      </c>
      <c r="F244" s="8" t="str">
        <f>IF(B244="","",D244*E244)</f>
        <v/>
      </c>
      <c r="H244" t="str">
        <f>IF(A244="","",WEEKNUM(A244,1))</f>
        <v/>
      </c>
      <c r="I244" t="str">
        <f>IFERROR(INDEX('Pay Calendar'!$B$2:$B$10,MATCH(H244,'Pay Calendar'!$A$2:$A$10,0)),"")</f>
        <v/>
      </c>
    </row>
    <row r="245" spans="1:9" x14ac:dyDescent="0.2">
      <c r="A245" s="7"/>
      <c r="C245" t="str">
        <f>IFERROR(VLOOKUP(B245,'Commission Rates'!$A:$C,2,FALSE),"")</f>
        <v/>
      </c>
      <c r="E245" s="8">
        <f>IFERROR(VLOOKUP(B245,'Commission Rates'!$A:$C,3,FALSE),0)</f>
        <v>0</v>
      </c>
      <c r="F245" s="8" t="str">
        <f>IF(B245="","",D245*E245)</f>
        <v/>
      </c>
      <c r="H245" t="str">
        <f>IF(A245="","",WEEKNUM(A245,1))</f>
        <v/>
      </c>
      <c r="I245" t="str">
        <f>IFERROR(INDEX('Pay Calendar'!$B$2:$B$10,MATCH(H245,'Pay Calendar'!$A$2:$A$10,0)),"")</f>
        <v/>
      </c>
    </row>
    <row r="246" spans="1:9" x14ac:dyDescent="0.2">
      <c r="A246" s="7"/>
      <c r="C246" t="str">
        <f>IFERROR(VLOOKUP(B246,'Commission Rates'!$A:$C,2,FALSE),"")</f>
        <v/>
      </c>
      <c r="E246" s="8">
        <f>IFERROR(VLOOKUP(B246,'Commission Rates'!$A:$C,3,FALSE),0)</f>
        <v>0</v>
      </c>
      <c r="F246" s="8" t="str">
        <f>IF(B246="","",D246*E246)</f>
        <v/>
      </c>
      <c r="H246" t="str">
        <f>IF(A246="","",WEEKNUM(A246,1))</f>
        <v/>
      </c>
      <c r="I246" t="str">
        <f>IFERROR(INDEX('Pay Calendar'!$B$2:$B$10,MATCH(H246,'Pay Calendar'!$A$2:$A$10,0)),"")</f>
        <v/>
      </c>
    </row>
    <row r="247" spans="1:9" x14ac:dyDescent="0.2">
      <c r="A247" s="7"/>
      <c r="C247" t="str">
        <f>IFERROR(VLOOKUP(B247,'Commission Rates'!$A:$C,2,FALSE),"")</f>
        <v/>
      </c>
      <c r="E247" s="8">
        <f>IFERROR(VLOOKUP(B247,'Commission Rates'!$A:$C,3,FALSE),0)</f>
        <v>0</v>
      </c>
      <c r="F247" s="8" t="str">
        <f>IF(B247="","",D247*E247)</f>
        <v/>
      </c>
      <c r="H247" t="str">
        <f>IF(A247="","",WEEKNUM(A247,1))</f>
        <v/>
      </c>
      <c r="I247" t="str">
        <f>IFERROR(INDEX('Pay Calendar'!$B$2:$B$10,MATCH(H247,'Pay Calendar'!$A$2:$A$10,0)),"")</f>
        <v/>
      </c>
    </row>
    <row r="248" spans="1:9" x14ac:dyDescent="0.2">
      <c r="A248" s="7"/>
      <c r="C248" t="str">
        <f>IFERROR(VLOOKUP(B248,'Commission Rates'!$A:$C,2,FALSE),"")</f>
        <v/>
      </c>
      <c r="E248" s="8">
        <f>IFERROR(VLOOKUP(B248,'Commission Rates'!$A:$C,3,FALSE),0)</f>
        <v>0</v>
      </c>
      <c r="F248" s="8" t="str">
        <f>IF(B248="","",D248*E248)</f>
        <v/>
      </c>
      <c r="H248" t="str">
        <f>IF(A248="","",WEEKNUM(A248,1))</f>
        <v/>
      </c>
      <c r="I248" t="str">
        <f>IFERROR(INDEX('Pay Calendar'!$B$2:$B$10,MATCH(H248,'Pay Calendar'!$A$2:$A$10,0)),"")</f>
        <v/>
      </c>
    </row>
    <row r="249" spans="1:9" x14ac:dyDescent="0.2">
      <c r="A249" s="7"/>
      <c r="C249" t="str">
        <f>IFERROR(VLOOKUP(B249,'Commission Rates'!$A:$C,2,FALSE),"")</f>
        <v/>
      </c>
      <c r="E249" s="8">
        <f>IFERROR(VLOOKUP(B249,'Commission Rates'!$A:$C,3,FALSE),0)</f>
        <v>0</v>
      </c>
      <c r="F249" s="8" t="str">
        <f>IF(B249="","",D249*E249)</f>
        <v/>
      </c>
      <c r="H249" t="str">
        <f>IF(A249="","",WEEKNUM(A249,1))</f>
        <v/>
      </c>
      <c r="I249" t="str">
        <f>IFERROR(INDEX('Pay Calendar'!$B$2:$B$10,MATCH(H249,'Pay Calendar'!$A$2:$A$10,0)),"")</f>
        <v/>
      </c>
    </row>
    <row r="250" spans="1:9" x14ac:dyDescent="0.2">
      <c r="A250" s="7"/>
      <c r="C250" t="str">
        <f>IFERROR(VLOOKUP(B250,'Commission Rates'!$A:$C,2,FALSE),"")</f>
        <v/>
      </c>
      <c r="E250" s="8">
        <f>IFERROR(VLOOKUP(B250,'Commission Rates'!$A:$C,3,FALSE),0)</f>
        <v>0</v>
      </c>
      <c r="F250" s="8" t="str">
        <f>IF(B250="","",D250*E250)</f>
        <v/>
      </c>
      <c r="H250" t="str">
        <f>IF(A250="","",WEEKNUM(A250,1))</f>
        <v/>
      </c>
      <c r="I250" t="str">
        <f>IFERROR(INDEX('Pay Calendar'!$B$2:$B$10,MATCH(H250,'Pay Calendar'!$A$2:$A$10,0)),"")</f>
        <v/>
      </c>
    </row>
    <row r="251" spans="1:9" x14ac:dyDescent="0.2">
      <c r="A251" s="7"/>
      <c r="C251" t="str">
        <f>IFERROR(VLOOKUP(B251,'Commission Rates'!$A:$C,2,FALSE),"")</f>
        <v/>
      </c>
      <c r="E251" s="8">
        <f>IFERROR(VLOOKUP(B251,'Commission Rates'!$A:$C,3,FALSE),0)</f>
        <v>0</v>
      </c>
      <c r="F251" s="8" t="str">
        <f>IF(B251="","",D251*E251)</f>
        <v/>
      </c>
      <c r="H251" t="str">
        <f>IF(A251="","",WEEKNUM(A251,1))</f>
        <v/>
      </c>
      <c r="I251" t="str">
        <f>IFERROR(INDEX('Pay Calendar'!$B$2:$B$10,MATCH(H251,'Pay Calendar'!$A$2:$A$10,0)),"")</f>
        <v/>
      </c>
    </row>
    <row r="252" spans="1:9" x14ac:dyDescent="0.2">
      <c r="A252" s="7"/>
      <c r="C252" t="str">
        <f>IFERROR(VLOOKUP(B252,'Commission Rates'!$A:$C,2,FALSE),"")</f>
        <v/>
      </c>
      <c r="E252" s="8">
        <f>IFERROR(VLOOKUP(B252,'Commission Rates'!$A:$C,3,FALSE),0)</f>
        <v>0</v>
      </c>
      <c r="F252" s="8" t="str">
        <f>IF(B252="","",D252*E252)</f>
        <v/>
      </c>
      <c r="H252" t="str">
        <f>IF(A252="","",WEEKNUM(A252,1))</f>
        <v/>
      </c>
      <c r="I252" t="str">
        <f>IFERROR(INDEX('Pay Calendar'!$B$2:$B$10,MATCH(H252,'Pay Calendar'!$A$2:$A$10,0)),"")</f>
        <v/>
      </c>
    </row>
    <row r="253" spans="1:9" x14ac:dyDescent="0.2">
      <c r="A253" s="7"/>
      <c r="C253" t="str">
        <f>IFERROR(VLOOKUP(B253,'Commission Rates'!$A:$C,2,FALSE),"")</f>
        <v/>
      </c>
      <c r="E253" s="8">
        <f>IFERROR(VLOOKUP(B253,'Commission Rates'!$A:$C,3,FALSE),0)</f>
        <v>0</v>
      </c>
      <c r="F253" s="8" t="str">
        <f>IF(B253="","",D253*E253)</f>
        <v/>
      </c>
      <c r="H253" t="str">
        <f>IF(A253="","",WEEKNUM(A253,1))</f>
        <v/>
      </c>
      <c r="I253" t="str">
        <f>IFERROR(INDEX('Pay Calendar'!$B$2:$B$10,MATCH(H253,'Pay Calendar'!$A$2:$A$10,0)),"")</f>
        <v/>
      </c>
    </row>
    <row r="254" spans="1:9" x14ac:dyDescent="0.2">
      <c r="A254" s="7"/>
      <c r="C254" t="str">
        <f>IFERROR(VLOOKUP(B254,'Commission Rates'!$A:$C,2,FALSE),"")</f>
        <v/>
      </c>
      <c r="E254" s="8">
        <f>IFERROR(VLOOKUP(B254,'Commission Rates'!$A:$C,3,FALSE),0)</f>
        <v>0</v>
      </c>
      <c r="F254" s="8" t="str">
        <f>IF(B254="","",D254*E254)</f>
        <v/>
      </c>
      <c r="H254" t="str">
        <f>IF(A254="","",WEEKNUM(A254,1))</f>
        <v/>
      </c>
      <c r="I254" t="str">
        <f>IFERROR(INDEX('Pay Calendar'!$B$2:$B$10,MATCH(H254,'Pay Calendar'!$A$2:$A$10,0)),"")</f>
        <v/>
      </c>
    </row>
    <row r="255" spans="1:9" x14ac:dyDescent="0.2">
      <c r="A255" s="7"/>
      <c r="C255" t="str">
        <f>IFERROR(VLOOKUP(B255,'Commission Rates'!$A:$C,2,FALSE),"")</f>
        <v/>
      </c>
      <c r="E255" s="8">
        <f>IFERROR(VLOOKUP(B255,'Commission Rates'!$A:$C,3,FALSE),0)</f>
        <v>0</v>
      </c>
      <c r="F255" s="8" t="str">
        <f>IF(B255="","",D255*E255)</f>
        <v/>
      </c>
      <c r="H255" t="str">
        <f>IF(A255="","",WEEKNUM(A255,1))</f>
        <v/>
      </c>
      <c r="I255" t="str">
        <f>IFERROR(INDEX('Pay Calendar'!$B$2:$B$10,MATCH(H255,'Pay Calendar'!$A$2:$A$10,0)),"")</f>
        <v/>
      </c>
    </row>
    <row r="256" spans="1:9" x14ac:dyDescent="0.2">
      <c r="A256" s="7"/>
      <c r="C256" t="str">
        <f>IFERROR(VLOOKUP(B256,'Commission Rates'!$A:$C,2,FALSE),"")</f>
        <v/>
      </c>
      <c r="E256" s="8">
        <f>IFERROR(VLOOKUP(B256,'Commission Rates'!$A:$C,3,FALSE),0)</f>
        <v>0</v>
      </c>
      <c r="F256" s="8" t="str">
        <f>IF(B256="","",D256*E256)</f>
        <v/>
      </c>
      <c r="H256" t="str">
        <f>IF(A256="","",WEEKNUM(A256,1))</f>
        <v/>
      </c>
      <c r="I256" t="str">
        <f>IFERROR(INDEX('Pay Calendar'!$B$2:$B$10,MATCH(H256,'Pay Calendar'!$A$2:$A$10,0)),"")</f>
        <v/>
      </c>
    </row>
    <row r="257" spans="1:9" x14ac:dyDescent="0.2">
      <c r="A257" s="7"/>
      <c r="C257" t="str">
        <f>IFERROR(VLOOKUP(B257,'Commission Rates'!$A:$C,2,FALSE),"")</f>
        <v/>
      </c>
      <c r="E257" s="8">
        <f>IFERROR(VLOOKUP(B257,'Commission Rates'!$A:$C,3,FALSE),0)</f>
        <v>0</v>
      </c>
      <c r="F257" s="8" t="str">
        <f>IF(B257="","",D257*E257)</f>
        <v/>
      </c>
      <c r="H257" t="str">
        <f>IF(A257="","",WEEKNUM(A257,1))</f>
        <v/>
      </c>
      <c r="I257" t="str">
        <f>IFERROR(INDEX('Pay Calendar'!$B$2:$B$10,MATCH(H257,'Pay Calendar'!$A$2:$A$10,0)),"")</f>
        <v/>
      </c>
    </row>
    <row r="258" spans="1:9" x14ac:dyDescent="0.2">
      <c r="A258" s="7"/>
      <c r="C258" t="str">
        <f>IFERROR(VLOOKUP(B258,'Commission Rates'!$A:$C,2,FALSE),"")</f>
        <v/>
      </c>
      <c r="E258" s="8">
        <f>IFERROR(VLOOKUP(B258,'Commission Rates'!$A:$C,3,FALSE),0)</f>
        <v>0</v>
      </c>
      <c r="F258" s="8" t="str">
        <f>IF(B258="","",D258*E258)</f>
        <v/>
      </c>
      <c r="H258" t="str">
        <f>IF(A258="","",WEEKNUM(A258,1))</f>
        <v/>
      </c>
      <c r="I258" t="str">
        <f>IFERROR(INDEX('Pay Calendar'!$B$2:$B$10,MATCH(H258,'Pay Calendar'!$A$2:$A$10,0)),"")</f>
        <v/>
      </c>
    </row>
    <row r="259" spans="1:9" x14ac:dyDescent="0.2">
      <c r="A259" s="7"/>
      <c r="C259" t="str">
        <f>IFERROR(VLOOKUP(B259,'Commission Rates'!$A:$C,2,FALSE),"")</f>
        <v/>
      </c>
      <c r="E259" s="8">
        <f>IFERROR(VLOOKUP(B259,'Commission Rates'!$A:$C,3,FALSE),0)</f>
        <v>0</v>
      </c>
      <c r="F259" s="8" t="str">
        <f>IF(B259="","",D259*E259)</f>
        <v/>
      </c>
      <c r="H259" t="str">
        <f>IF(A259="","",WEEKNUM(A259,1))</f>
        <v/>
      </c>
      <c r="I259" t="str">
        <f>IFERROR(INDEX('Pay Calendar'!$B$2:$B$10,MATCH(H259,'Pay Calendar'!$A$2:$A$10,0)),"")</f>
        <v/>
      </c>
    </row>
    <row r="260" spans="1:9" x14ac:dyDescent="0.2">
      <c r="A260" s="7"/>
      <c r="C260" t="str">
        <f>IFERROR(VLOOKUP(B260,'Commission Rates'!$A:$C,2,FALSE),"")</f>
        <v/>
      </c>
      <c r="E260" s="8">
        <f>IFERROR(VLOOKUP(B260,'Commission Rates'!$A:$C,3,FALSE),0)</f>
        <v>0</v>
      </c>
      <c r="F260" s="8" t="str">
        <f>IF(B260="","",D260*E260)</f>
        <v/>
      </c>
      <c r="H260" t="str">
        <f>IF(A260="","",WEEKNUM(A260,1))</f>
        <v/>
      </c>
      <c r="I260" t="str">
        <f>IFERROR(INDEX('Pay Calendar'!$B$2:$B$10,MATCH(H260,'Pay Calendar'!$A$2:$A$10,0)),"")</f>
        <v/>
      </c>
    </row>
    <row r="261" spans="1:9" x14ac:dyDescent="0.2">
      <c r="A261" s="7"/>
      <c r="C261" t="str">
        <f>IFERROR(VLOOKUP(B261,'Commission Rates'!$A:$C,2,FALSE),"")</f>
        <v/>
      </c>
      <c r="E261" s="8">
        <f>IFERROR(VLOOKUP(B261,'Commission Rates'!$A:$C,3,FALSE),0)</f>
        <v>0</v>
      </c>
      <c r="F261" s="8" t="str">
        <f>IF(B261="","",D261*E261)</f>
        <v/>
      </c>
      <c r="H261" t="str">
        <f>IF(A261="","",WEEKNUM(A261,1))</f>
        <v/>
      </c>
      <c r="I261" t="str">
        <f>IFERROR(INDEX('Pay Calendar'!$B$2:$B$10,MATCH(H261,'Pay Calendar'!$A$2:$A$10,0)),"")</f>
        <v/>
      </c>
    </row>
    <row r="262" spans="1:9" x14ac:dyDescent="0.2">
      <c r="A262" s="7"/>
      <c r="C262" t="str">
        <f>IFERROR(VLOOKUP(B262,'Commission Rates'!$A:$C,2,FALSE),"")</f>
        <v/>
      </c>
      <c r="E262" s="8">
        <f>IFERROR(VLOOKUP(B262,'Commission Rates'!$A:$C,3,FALSE),0)</f>
        <v>0</v>
      </c>
      <c r="F262" s="8" t="str">
        <f>IF(B262="","",D262*E262)</f>
        <v/>
      </c>
      <c r="H262" t="str">
        <f>IF(A262="","",WEEKNUM(A262,1))</f>
        <v/>
      </c>
      <c r="I262" t="str">
        <f>IFERROR(INDEX('Pay Calendar'!$B$2:$B$10,MATCH(H262,'Pay Calendar'!$A$2:$A$10,0)),"")</f>
        <v/>
      </c>
    </row>
    <row r="263" spans="1:9" x14ac:dyDescent="0.2">
      <c r="A263" s="7"/>
      <c r="C263" t="str">
        <f>IFERROR(VLOOKUP(B263,'Commission Rates'!$A:$C,2,FALSE),"")</f>
        <v/>
      </c>
      <c r="E263" s="8">
        <f>IFERROR(VLOOKUP(B263,'Commission Rates'!$A:$C,3,FALSE),0)</f>
        <v>0</v>
      </c>
      <c r="F263" s="8" t="str">
        <f>IF(B263="","",D263*E263)</f>
        <v/>
      </c>
      <c r="H263" t="str">
        <f>IF(A263="","",WEEKNUM(A263,1))</f>
        <v/>
      </c>
      <c r="I263" t="str">
        <f>IFERROR(INDEX('Pay Calendar'!$B$2:$B$10,MATCH(H263,'Pay Calendar'!$A$2:$A$10,0)),"")</f>
        <v/>
      </c>
    </row>
    <row r="264" spans="1:9" x14ac:dyDescent="0.2">
      <c r="A264" s="7"/>
      <c r="C264" t="str">
        <f>IFERROR(VLOOKUP(B264,'Commission Rates'!$A:$C,2,FALSE),"")</f>
        <v/>
      </c>
      <c r="E264" s="8">
        <f>IFERROR(VLOOKUP(B264,'Commission Rates'!$A:$C,3,FALSE),0)</f>
        <v>0</v>
      </c>
      <c r="F264" s="8" t="str">
        <f>IF(B264="","",D264*E264)</f>
        <v/>
      </c>
      <c r="H264" t="str">
        <f>IF(A264="","",WEEKNUM(A264,1))</f>
        <v/>
      </c>
      <c r="I264" t="str">
        <f>IFERROR(INDEX('Pay Calendar'!$B$2:$B$10,MATCH(H264,'Pay Calendar'!$A$2:$A$10,0)),"")</f>
        <v/>
      </c>
    </row>
    <row r="265" spans="1:9" x14ac:dyDescent="0.2">
      <c r="A265" s="7"/>
      <c r="C265" t="str">
        <f>IFERROR(VLOOKUP(B265,'Commission Rates'!$A:$C,2,FALSE),"")</f>
        <v/>
      </c>
      <c r="E265" s="8">
        <f>IFERROR(VLOOKUP(B265,'Commission Rates'!$A:$C,3,FALSE),0)</f>
        <v>0</v>
      </c>
      <c r="F265" s="8" t="str">
        <f>IF(B265="","",D265*E265)</f>
        <v/>
      </c>
      <c r="H265" t="str">
        <f>IF(A265="","",WEEKNUM(A265,1))</f>
        <v/>
      </c>
      <c r="I265" t="str">
        <f>IFERROR(INDEX('Pay Calendar'!$B$2:$B$10,MATCH(H265,'Pay Calendar'!$A$2:$A$10,0)),"")</f>
        <v/>
      </c>
    </row>
    <row r="266" spans="1:9" x14ac:dyDescent="0.2">
      <c r="A266" s="7"/>
      <c r="C266" t="str">
        <f>IFERROR(VLOOKUP(B266,'Commission Rates'!$A:$C,2,FALSE),"")</f>
        <v/>
      </c>
      <c r="E266" s="8">
        <f>IFERROR(VLOOKUP(B266,'Commission Rates'!$A:$C,3,FALSE),0)</f>
        <v>0</v>
      </c>
      <c r="F266" s="8" t="str">
        <f>IF(B266="","",D266*E266)</f>
        <v/>
      </c>
      <c r="H266" t="str">
        <f>IF(A266="","",WEEKNUM(A266,1))</f>
        <v/>
      </c>
      <c r="I266" t="str">
        <f>IFERROR(INDEX('Pay Calendar'!$B$2:$B$10,MATCH(H266,'Pay Calendar'!$A$2:$A$10,0)),"")</f>
        <v/>
      </c>
    </row>
    <row r="267" spans="1:9" x14ac:dyDescent="0.2">
      <c r="A267" s="7"/>
      <c r="C267" t="str">
        <f>IFERROR(VLOOKUP(B267,'Commission Rates'!$A:$C,2,FALSE),"")</f>
        <v/>
      </c>
      <c r="E267" s="8">
        <f>IFERROR(VLOOKUP(B267,'Commission Rates'!$A:$C,3,FALSE),0)</f>
        <v>0</v>
      </c>
      <c r="F267" s="8" t="str">
        <f>IF(B267="","",D267*E267)</f>
        <v/>
      </c>
      <c r="H267" t="str">
        <f>IF(A267="","",WEEKNUM(A267,1))</f>
        <v/>
      </c>
      <c r="I267" t="str">
        <f>IFERROR(INDEX('Pay Calendar'!$B$2:$B$10,MATCH(H267,'Pay Calendar'!$A$2:$A$10,0)),"")</f>
        <v/>
      </c>
    </row>
    <row r="268" spans="1:9" x14ac:dyDescent="0.2">
      <c r="A268" s="7"/>
      <c r="C268" t="str">
        <f>IFERROR(VLOOKUP(B268,'Commission Rates'!$A:$C,2,FALSE),"")</f>
        <v/>
      </c>
      <c r="E268" s="8">
        <f>IFERROR(VLOOKUP(B268,'Commission Rates'!$A:$C,3,FALSE),0)</f>
        <v>0</v>
      </c>
      <c r="F268" s="8" t="str">
        <f>IF(B268="","",D268*E268)</f>
        <v/>
      </c>
      <c r="H268" t="str">
        <f>IF(A268="","",WEEKNUM(A268,1))</f>
        <v/>
      </c>
      <c r="I268" t="str">
        <f>IFERROR(INDEX('Pay Calendar'!$B$2:$B$10,MATCH(H268,'Pay Calendar'!$A$2:$A$10,0)),"")</f>
        <v/>
      </c>
    </row>
    <row r="269" spans="1:9" x14ac:dyDescent="0.2">
      <c r="A269" s="7"/>
      <c r="C269" t="str">
        <f>IFERROR(VLOOKUP(B269,'Commission Rates'!$A:$C,2,FALSE),"")</f>
        <v/>
      </c>
      <c r="E269" s="8">
        <f>IFERROR(VLOOKUP(B269,'Commission Rates'!$A:$C,3,FALSE),0)</f>
        <v>0</v>
      </c>
      <c r="F269" s="8" t="str">
        <f>IF(B269="","",D269*E269)</f>
        <v/>
      </c>
      <c r="H269" t="str">
        <f>IF(A269="","",WEEKNUM(A269,1))</f>
        <v/>
      </c>
      <c r="I269" t="str">
        <f>IFERROR(INDEX('Pay Calendar'!$B$2:$B$10,MATCH(H269,'Pay Calendar'!$A$2:$A$10,0)),"")</f>
        <v/>
      </c>
    </row>
    <row r="270" spans="1:9" x14ac:dyDescent="0.2">
      <c r="A270" s="7"/>
      <c r="C270" t="str">
        <f>IFERROR(VLOOKUP(B270,'Commission Rates'!$A:$C,2,FALSE),"")</f>
        <v/>
      </c>
      <c r="E270" s="8">
        <f>IFERROR(VLOOKUP(B270,'Commission Rates'!$A:$C,3,FALSE),0)</f>
        <v>0</v>
      </c>
      <c r="F270" s="8" t="str">
        <f>IF(B270="","",D270*E270)</f>
        <v/>
      </c>
      <c r="H270" t="str">
        <f>IF(A270="","",WEEKNUM(A270,1))</f>
        <v/>
      </c>
      <c r="I270" t="str">
        <f>IFERROR(INDEX('Pay Calendar'!$B$2:$B$10,MATCH(H270,'Pay Calendar'!$A$2:$A$10,0)),"")</f>
        <v/>
      </c>
    </row>
    <row r="271" spans="1:9" x14ac:dyDescent="0.2">
      <c r="A271" s="7"/>
      <c r="C271" t="str">
        <f>IFERROR(VLOOKUP(B271,'Commission Rates'!$A:$C,2,FALSE),"")</f>
        <v/>
      </c>
      <c r="E271" s="8">
        <f>IFERROR(VLOOKUP(B271,'Commission Rates'!$A:$C,3,FALSE),0)</f>
        <v>0</v>
      </c>
      <c r="F271" s="8" t="str">
        <f>IF(B271="","",D271*E271)</f>
        <v/>
      </c>
      <c r="H271" t="str">
        <f>IF(A271="","",WEEKNUM(A271,1))</f>
        <v/>
      </c>
      <c r="I271" t="str">
        <f>IFERROR(INDEX('Pay Calendar'!$B$2:$B$10,MATCH(H271,'Pay Calendar'!$A$2:$A$10,0)),"")</f>
        <v/>
      </c>
    </row>
    <row r="272" spans="1:9" x14ac:dyDescent="0.2">
      <c r="A272" s="7"/>
      <c r="C272" t="str">
        <f>IFERROR(VLOOKUP(B272,'Commission Rates'!$A:$C,2,FALSE),"")</f>
        <v/>
      </c>
      <c r="E272" s="8">
        <f>IFERROR(VLOOKUP(B272,'Commission Rates'!$A:$C,3,FALSE),0)</f>
        <v>0</v>
      </c>
      <c r="F272" s="8" t="str">
        <f>IF(B272="","",D272*E272)</f>
        <v/>
      </c>
      <c r="H272" t="str">
        <f>IF(A272="","",WEEKNUM(A272,1))</f>
        <v/>
      </c>
      <c r="I272" t="str">
        <f>IFERROR(INDEX('Pay Calendar'!$B$2:$B$10,MATCH(H272,'Pay Calendar'!$A$2:$A$10,0)),"")</f>
        <v/>
      </c>
    </row>
    <row r="273" spans="1:9" x14ac:dyDescent="0.2">
      <c r="A273" s="7"/>
      <c r="C273" t="str">
        <f>IFERROR(VLOOKUP(B273,'Commission Rates'!$A:$C,2,FALSE),"")</f>
        <v/>
      </c>
      <c r="E273" s="8">
        <f>IFERROR(VLOOKUP(B273,'Commission Rates'!$A:$C,3,FALSE),0)</f>
        <v>0</v>
      </c>
      <c r="F273" s="8" t="str">
        <f>IF(B273="","",D273*E273)</f>
        <v/>
      </c>
      <c r="H273" t="str">
        <f>IF(A273="","",WEEKNUM(A273,1))</f>
        <v/>
      </c>
      <c r="I273" t="str">
        <f>IFERROR(INDEX('Pay Calendar'!$B$2:$B$10,MATCH(H273,'Pay Calendar'!$A$2:$A$10,0)),"")</f>
        <v/>
      </c>
    </row>
    <row r="274" spans="1:9" x14ac:dyDescent="0.2">
      <c r="A274" s="7"/>
      <c r="C274" t="str">
        <f>IFERROR(VLOOKUP(B274,'Commission Rates'!$A:$C,2,FALSE),"")</f>
        <v/>
      </c>
      <c r="E274" s="8">
        <f>IFERROR(VLOOKUP(B274,'Commission Rates'!$A:$C,3,FALSE),0)</f>
        <v>0</v>
      </c>
      <c r="F274" s="8" t="str">
        <f>IF(B274="","",D274*E274)</f>
        <v/>
      </c>
      <c r="H274" t="str">
        <f>IF(A274="","",WEEKNUM(A274,1))</f>
        <v/>
      </c>
      <c r="I274" t="str">
        <f>IFERROR(INDEX('Pay Calendar'!$B$2:$B$10,MATCH(H274,'Pay Calendar'!$A$2:$A$10,0)),"")</f>
        <v/>
      </c>
    </row>
    <row r="275" spans="1:9" x14ac:dyDescent="0.2">
      <c r="A275" s="7"/>
      <c r="C275" t="str">
        <f>IFERROR(VLOOKUP(B275,'Commission Rates'!$A:$C,2,FALSE),"")</f>
        <v/>
      </c>
      <c r="E275" s="8">
        <f>IFERROR(VLOOKUP(B275,'Commission Rates'!$A:$C,3,FALSE),0)</f>
        <v>0</v>
      </c>
      <c r="F275" s="8" t="str">
        <f>IF(B275="","",D275*E275)</f>
        <v/>
      </c>
      <c r="H275" t="str">
        <f>IF(A275="","",WEEKNUM(A275,1))</f>
        <v/>
      </c>
      <c r="I275" t="str">
        <f>IFERROR(INDEX('Pay Calendar'!$B$2:$B$10,MATCH(H275,'Pay Calendar'!$A$2:$A$10,0)),"")</f>
        <v/>
      </c>
    </row>
    <row r="276" spans="1:9" x14ac:dyDescent="0.2">
      <c r="A276" s="7"/>
      <c r="C276" t="str">
        <f>IFERROR(VLOOKUP(B276,'Commission Rates'!$A:$C,2,FALSE),"")</f>
        <v/>
      </c>
      <c r="E276" s="8">
        <f>IFERROR(VLOOKUP(B276,'Commission Rates'!$A:$C,3,FALSE),0)</f>
        <v>0</v>
      </c>
      <c r="F276" s="8" t="str">
        <f>IF(B276="","",D276*E276)</f>
        <v/>
      </c>
      <c r="H276" t="str">
        <f>IF(A276="","",WEEKNUM(A276,1))</f>
        <v/>
      </c>
      <c r="I276" t="str">
        <f>IFERROR(INDEX('Pay Calendar'!$B$2:$B$10,MATCH(H276,'Pay Calendar'!$A$2:$A$10,0)),"")</f>
        <v/>
      </c>
    </row>
    <row r="277" spans="1:9" x14ac:dyDescent="0.2">
      <c r="A277" s="7"/>
      <c r="C277" t="str">
        <f>IFERROR(VLOOKUP(B277,'Commission Rates'!$A:$C,2,FALSE),"")</f>
        <v/>
      </c>
      <c r="E277" s="8">
        <f>IFERROR(VLOOKUP(B277,'Commission Rates'!$A:$C,3,FALSE),0)</f>
        <v>0</v>
      </c>
      <c r="F277" s="8" t="str">
        <f>IF(B277="","",D277*E277)</f>
        <v/>
      </c>
      <c r="H277" t="str">
        <f>IF(A277="","",WEEKNUM(A277,1))</f>
        <v/>
      </c>
      <c r="I277" t="str">
        <f>IFERROR(INDEX('Pay Calendar'!$B$2:$B$10,MATCH(H277,'Pay Calendar'!$A$2:$A$10,0)),"")</f>
        <v/>
      </c>
    </row>
    <row r="278" spans="1:9" x14ac:dyDescent="0.2">
      <c r="A278" s="7"/>
      <c r="C278" t="str">
        <f>IFERROR(VLOOKUP(B278,'Commission Rates'!$A:$C,2,FALSE),"")</f>
        <v/>
      </c>
      <c r="E278" s="8">
        <f>IFERROR(VLOOKUP(B278,'Commission Rates'!$A:$C,3,FALSE),0)</f>
        <v>0</v>
      </c>
      <c r="F278" s="8" t="str">
        <f>IF(B278="","",D278*E278)</f>
        <v/>
      </c>
      <c r="H278" t="str">
        <f>IF(A278="","",WEEKNUM(A278,1))</f>
        <v/>
      </c>
      <c r="I278" t="str">
        <f>IFERROR(INDEX('Pay Calendar'!$B$2:$B$10,MATCH(H278,'Pay Calendar'!$A$2:$A$10,0)),"")</f>
        <v/>
      </c>
    </row>
    <row r="279" spans="1:9" x14ac:dyDescent="0.2">
      <c r="A279" s="7"/>
      <c r="C279" t="str">
        <f>IFERROR(VLOOKUP(B279,'Commission Rates'!$A:$C,2,FALSE),"")</f>
        <v/>
      </c>
      <c r="E279" s="8">
        <f>IFERROR(VLOOKUP(B279,'Commission Rates'!$A:$C,3,FALSE),0)</f>
        <v>0</v>
      </c>
      <c r="F279" s="8" t="str">
        <f>IF(B279="","",D279*E279)</f>
        <v/>
      </c>
      <c r="H279" t="str">
        <f>IF(A279="","",WEEKNUM(A279,1))</f>
        <v/>
      </c>
      <c r="I279" t="str">
        <f>IFERROR(INDEX('Pay Calendar'!$B$2:$B$10,MATCH(H279,'Pay Calendar'!$A$2:$A$10,0)),"")</f>
        <v/>
      </c>
    </row>
    <row r="280" spans="1:9" x14ac:dyDescent="0.2">
      <c r="A280" s="7"/>
      <c r="C280" t="str">
        <f>IFERROR(VLOOKUP(B280,'Commission Rates'!$A:$C,2,FALSE),"")</f>
        <v/>
      </c>
      <c r="E280" s="8">
        <f>IFERROR(VLOOKUP(B280,'Commission Rates'!$A:$C,3,FALSE),0)</f>
        <v>0</v>
      </c>
      <c r="F280" s="8" t="str">
        <f>IF(B280="","",D280*E280)</f>
        <v/>
      </c>
      <c r="H280" t="str">
        <f>IF(A280="","",WEEKNUM(A280,1))</f>
        <v/>
      </c>
      <c r="I280" t="str">
        <f>IFERROR(INDEX('Pay Calendar'!$B$2:$B$10,MATCH(H280,'Pay Calendar'!$A$2:$A$10,0)),"")</f>
        <v/>
      </c>
    </row>
    <row r="281" spans="1:9" x14ac:dyDescent="0.2">
      <c r="A281" s="7"/>
      <c r="C281" t="str">
        <f>IFERROR(VLOOKUP(B281,'Commission Rates'!$A:$C,2,FALSE),"")</f>
        <v/>
      </c>
      <c r="E281" s="8">
        <f>IFERROR(VLOOKUP(B281,'Commission Rates'!$A:$C,3,FALSE),0)</f>
        <v>0</v>
      </c>
      <c r="F281" s="8" t="str">
        <f>IF(B281="","",D281*E281)</f>
        <v/>
      </c>
      <c r="H281" t="str">
        <f>IF(A281="","",WEEKNUM(A281,1))</f>
        <v/>
      </c>
      <c r="I281" t="str">
        <f>IFERROR(INDEX('Pay Calendar'!$B$2:$B$10,MATCH(H281,'Pay Calendar'!$A$2:$A$10,0)),"")</f>
        <v/>
      </c>
    </row>
    <row r="282" spans="1:9" x14ac:dyDescent="0.2">
      <c r="A282" s="7"/>
      <c r="C282" t="str">
        <f>IFERROR(VLOOKUP(B282,'Commission Rates'!$A:$C,2,FALSE),"")</f>
        <v/>
      </c>
      <c r="E282" s="8">
        <f>IFERROR(VLOOKUP(B282,'Commission Rates'!$A:$C,3,FALSE),0)</f>
        <v>0</v>
      </c>
      <c r="F282" s="8" t="str">
        <f>IF(B282="","",D282*E282)</f>
        <v/>
      </c>
      <c r="H282" t="str">
        <f>IF(A282="","",WEEKNUM(A282,1))</f>
        <v/>
      </c>
      <c r="I282" t="str">
        <f>IFERROR(INDEX('Pay Calendar'!$B$2:$B$10,MATCH(H282,'Pay Calendar'!$A$2:$A$10,0)),"")</f>
        <v/>
      </c>
    </row>
    <row r="283" spans="1:9" x14ac:dyDescent="0.2">
      <c r="A283" s="7"/>
      <c r="C283" t="str">
        <f>IFERROR(VLOOKUP(B283,'Commission Rates'!$A:$C,2,FALSE),"")</f>
        <v/>
      </c>
      <c r="E283" s="8">
        <f>IFERROR(VLOOKUP(B283,'Commission Rates'!$A:$C,3,FALSE),0)</f>
        <v>0</v>
      </c>
      <c r="F283" s="8" t="str">
        <f>IF(B283="","",D283*E283)</f>
        <v/>
      </c>
      <c r="H283" t="str">
        <f>IF(A283="","",WEEKNUM(A283,1))</f>
        <v/>
      </c>
      <c r="I283" t="str">
        <f>IFERROR(INDEX('Pay Calendar'!$B$2:$B$10,MATCH(H283,'Pay Calendar'!$A$2:$A$10,0)),"")</f>
        <v/>
      </c>
    </row>
    <row r="284" spans="1:9" x14ac:dyDescent="0.2">
      <c r="A284" s="7"/>
      <c r="C284" t="str">
        <f>IFERROR(VLOOKUP(B284,'Commission Rates'!$A:$C,2,FALSE),"")</f>
        <v/>
      </c>
      <c r="E284" s="8">
        <f>IFERROR(VLOOKUP(B284,'Commission Rates'!$A:$C,3,FALSE),0)</f>
        <v>0</v>
      </c>
      <c r="F284" s="8" t="str">
        <f>IF(B284="","",D284*E284)</f>
        <v/>
      </c>
      <c r="H284" t="str">
        <f>IF(A284="","",WEEKNUM(A284,1))</f>
        <v/>
      </c>
      <c r="I284" t="str">
        <f>IFERROR(INDEX('Pay Calendar'!$B$2:$B$10,MATCH(H284,'Pay Calendar'!$A$2:$A$10,0)),"")</f>
        <v/>
      </c>
    </row>
    <row r="285" spans="1:9" x14ac:dyDescent="0.2">
      <c r="A285" s="7"/>
      <c r="C285" t="str">
        <f>IFERROR(VLOOKUP(B285,'Commission Rates'!$A:$C,2,FALSE),"")</f>
        <v/>
      </c>
      <c r="E285" s="8">
        <f>IFERROR(VLOOKUP(B285,'Commission Rates'!$A:$C,3,FALSE),0)</f>
        <v>0</v>
      </c>
      <c r="F285" s="8" t="str">
        <f>IF(B285="","",D285*E285)</f>
        <v/>
      </c>
      <c r="H285" t="str">
        <f>IF(A285="","",WEEKNUM(A285,1))</f>
        <v/>
      </c>
      <c r="I285" t="str">
        <f>IFERROR(INDEX('Pay Calendar'!$B$2:$B$10,MATCH(H285,'Pay Calendar'!$A$2:$A$10,0)),"")</f>
        <v/>
      </c>
    </row>
    <row r="286" spans="1:9" x14ac:dyDescent="0.2">
      <c r="A286" s="7"/>
      <c r="C286" t="str">
        <f>IFERROR(VLOOKUP(B286,'Commission Rates'!$A:$C,2,FALSE),"")</f>
        <v/>
      </c>
      <c r="E286" s="8">
        <f>IFERROR(VLOOKUP(B286,'Commission Rates'!$A:$C,3,FALSE),0)</f>
        <v>0</v>
      </c>
      <c r="F286" s="8" t="str">
        <f>IF(B286="","",D286*E286)</f>
        <v/>
      </c>
      <c r="H286" t="str">
        <f>IF(A286="","",WEEKNUM(A286,1))</f>
        <v/>
      </c>
      <c r="I286" t="str">
        <f>IFERROR(INDEX('Pay Calendar'!$B$2:$B$10,MATCH(H286,'Pay Calendar'!$A$2:$A$10,0)),"")</f>
        <v/>
      </c>
    </row>
    <row r="287" spans="1:9" x14ac:dyDescent="0.2">
      <c r="A287" s="7"/>
      <c r="C287" t="str">
        <f>IFERROR(VLOOKUP(B287,'Commission Rates'!$A:$C,2,FALSE),"")</f>
        <v/>
      </c>
      <c r="E287" s="8">
        <f>IFERROR(VLOOKUP(B287,'Commission Rates'!$A:$C,3,FALSE),0)</f>
        <v>0</v>
      </c>
      <c r="F287" s="8" t="str">
        <f>IF(B287="","",D287*E287)</f>
        <v/>
      </c>
      <c r="H287" t="str">
        <f>IF(A287="","",WEEKNUM(A287,1))</f>
        <v/>
      </c>
      <c r="I287" t="str">
        <f>IFERROR(INDEX('Pay Calendar'!$B$2:$B$10,MATCH(H287,'Pay Calendar'!$A$2:$A$10,0)),"")</f>
        <v/>
      </c>
    </row>
    <row r="288" spans="1:9" x14ac:dyDescent="0.2">
      <c r="A288" s="7"/>
      <c r="C288" t="str">
        <f>IFERROR(VLOOKUP(B288,'Commission Rates'!$A:$C,2,FALSE),"")</f>
        <v/>
      </c>
      <c r="E288" s="8">
        <f>IFERROR(VLOOKUP(B288,'Commission Rates'!$A:$C,3,FALSE),0)</f>
        <v>0</v>
      </c>
      <c r="F288" s="8" t="str">
        <f>IF(B288="","",D288*E288)</f>
        <v/>
      </c>
      <c r="H288" t="str">
        <f>IF(A288="","",WEEKNUM(A288,1))</f>
        <v/>
      </c>
      <c r="I288" t="str">
        <f>IFERROR(INDEX('Pay Calendar'!$B$2:$B$10,MATCH(H288,'Pay Calendar'!$A$2:$A$10,0)),"")</f>
        <v/>
      </c>
    </row>
    <row r="289" spans="1:9" x14ac:dyDescent="0.2">
      <c r="A289" s="7"/>
      <c r="C289" t="str">
        <f>IFERROR(VLOOKUP(B289,'Commission Rates'!$A:$C,2,FALSE),"")</f>
        <v/>
      </c>
      <c r="E289" s="8">
        <f>IFERROR(VLOOKUP(B289,'Commission Rates'!$A:$C,3,FALSE),0)</f>
        <v>0</v>
      </c>
      <c r="F289" s="8" t="str">
        <f>IF(B289="","",D289*E289)</f>
        <v/>
      </c>
      <c r="H289" t="str">
        <f>IF(A289="","",WEEKNUM(A289,1))</f>
        <v/>
      </c>
      <c r="I289" t="str">
        <f>IFERROR(INDEX('Pay Calendar'!$B$2:$B$10,MATCH(H289,'Pay Calendar'!$A$2:$A$10,0)),"")</f>
        <v/>
      </c>
    </row>
    <row r="290" spans="1:9" x14ac:dyDescent="0.2">
      <c r="A290" s="7"/>
      <c r="C290" t="str">
        <f>IFERROR(VLOOKUP(B290,'Commission Rates'!$A:$C,2,FALSE),"")</f>
        <v/>
      </c>
      <c r="E290" s="8">
        <f>IFERROR(VLOOKUP(B290,'Commission Rates'!$A:$C,3,FALSE),0)</f>
        <v>0</v>
      </c>
      <c r="F290" s="8" t="str">
        <f>IF(B290="","",D290*E290)</f>
        <v/>
      </c>
      <c r="H290" t="str">
        <f>IF(A290="","",WEEKNUM(A290,1))</f>
        <v/>
      </c>
      <c r="I290" t="str">
        <f>IFERROR(INDEX('Pay Calendar'!$B$2:$B$10,MATCH(H290,'Pay Calendar'!$A$2:$A$10,0)),"")</f>
        <v/>
      </c>
    </row>
    <row r="291" spans="1:9" x14ac:dyDescent="0.2">
      <c r="A291" s="7"/>
      <c r="C291" t="str">
        <f>IFERROR(VLOOKUP(B291,'Commission Rates'!$A:$C,2,FALSE),"")</f>
        <v/>
      </c>
      <c r="E291" s="8">
        <f>IFERROR(VLOOKUP(B291,'Commission Rates'!$A:$C,3,FALSE),0)</f>
        <v>0</v>
      </c>
      <c r="F291" s="8" t="str">
        <f>IF(B291="","",D291*E291)</f>
        <v/>
      </c>
      <c r="H291" t="str">
        <f>IF(A291="","",WEEKNUM(A291,1))</f>
        <v/>
      </c>
      <c r="I291" t="str">
        <f>IFERROR(INDEX('Pay Calendar'!$B$2:$B$10,MATCH(H291,'Pay Calendar'!$A$2:$A$10,0)),"")</f>
        <v/>
      </c>
    </row>
    <row r="292" spans="1:9" x14ac:dyDescent="0.2">
      <c r="A292" s="7"/>
      <c r="C292" t="str">
        <f>IFERROR(VLOOKUP(B292,'Commission Rates'!$A:$C,2,FALSE),"")</f>
        <v/>
      </c>
      <c r="E292" s="8">
        <f>IFERROR(VLOOKUP(B292,'Commission Rates'!$A:$C,3,FALSE),0)</f>
        <v>0</v>
      </c>
      <c r="F292" s="8" t="str">
        <f>IF(B292="","",D292*E292)</f>
        <v/>
      </c>
      <c r="H292" t="str">
        <f>IF(A292="","",WEEKNUM(A292,1))</f>
        <v/>
      </c>
      <c r="I292" t="str">
        <f>IFERROR(INDEX('Pay Calendar'!$B$2:$B$10,MATCH(H292,'Pay Calendar'!$A$2:$A$10,0)),"")</f>
        <v/>
      </c>
    </row>
    <row r="293" spans="1:9" x14ac:dyDescent="0.2">
      <c r="A293" s="7"/>
      <c r="C293" t="str">
        <f>IFERROR(VLOOKUP(B293,'Commission Rates'!$A:$C,2,FALSE),"")</f>
        <v/>
      </c>
      <c r="E293" s="8">
        <f>IFERROR(VLOOKUP(B293,'Commission Rates'!$A:$C,3,FALSE),0)</f>
        <v>0</v>
      </c>
      <c r="F293" s="8" t="str">
        <f>IF(B293="","",D293*E293)</f>
        <v/>
      </c>
      <c r="H293" t="str">
        <f>IF(A293="","",WEEKNUM(A293,1))</f>
        <v/>
      </c>
      <c r="I293" t="str">
        <f>IFERROR(INDEX('Pay Calendar'!$B$2:$B$10,MATCH(H293,'Pay Calendar'!$A$2:$A$10,0)),"")</f>
        <v/>
      </c>
    </row>
    <row r="294" spans="1:9" x14ac:dyDescent="0.2">
      <c r="A294" s="7"/>
      <c r="C294" t="str">
        <f>IFERROR(VLOOKUP(B294,'Commission Rates'!$A:$C,2,FALSE),"")</f>
        <v/>
      </c>
      <c r="E294" s="8">
        <f>IFERROR(VLOOKUP(B294,'Commission Rates'!$A:$C,3,FALSE),0)</f>
        <v>0</v>
      </c>
      <c r="F294" s="8" t="str">
        <f>IF(B294="","",D294*E294)</f>
        <v/>
      </c>
      <c r="H294" t="str">
        <f>IF(A294="","",WEEKNUM(A294,1))</f>
        <v/>
      </c>
      <c r="I294" t="str">
        <f>IFERROR(INDEX('Pay Calendar'!$B$2:$B$10,MATCH(H294,'Pay Calendar'!$A$2:$A$10,0)),"")</f>
        <v/>
      </c>
    </row>
    <row r="295" spans="1:9" x14ac:dyDescent="0.2">
      <c r="A295" s="7"/>
      <c r="C295" t="str">
        <f>IFERROR(VLOOKUP(B295,'Commission Rates'!$A:$C,2,FALSE),"")</f>
        <v/>
      </c>
      <c r="E295" s="8">
        <f>IFERROR(VLOOKUP(B295,'Commission Rates'!$A:$C,3,FALSE),0)</f>
        <v>0</v>
      </c>
      <c r="F295" s="8" t="str">
        <f>IF(B295="","",D295*E295)</f>
        <v/>
      </c>
      <c r="H295" t="str">
        <f>IF(A295="","",WEEKNUM(A295,1))</f>
        <v/>
      </c>
      <c r="I295" t="str">
        <f>IFERROR(INDEX('Pay Calendar'!$B$2:$B$10,MATCH(H295,'Pay Calendar'!$A$2:$A$10,0)),"")</f>
        <v/>
      </c>
    </row>
    <row r="296" spans="1:9" x14ac:dyDescent="0.2">
      <c r="A296" s="7"/>
      <c r="C296" t="str">
        <f>IFERROR(VLOOKUP(B296,'Commission Rates'!$A:$C,2,FALSE),"")</f>
        <v/>
      </c>
      <c r="E296" s="8">
        <f>IFERROR(VLOOKUP(B296,'Commission Rates'!$A:$C,3,FALSE),0)</f>
        <v>0</v>
      </c>
      <c r="F296" s="8" t="str">
        <f>IF(B296="","",D296*E296)</f>
        <v/>
      </c>
      <c r="H296" t="str">
        <f>IF(A296="","",WEEKNUM(A296,1))</f>
        <v/>
      </c>
      <c r="I296" t="str">
        <f>IFERROR(INDEX('Pay Calendar'!$B$2:$B$10,MATCH(H296,'Pay Calendar'!$A$2:$A$10,0)),"")</f>
        <v/>
      </c>
    </row>
    <row r="297" spans="1:9" x14ac:dyDescent="0.2">
      <c r="A297" s="7"/>
      <c r="C297" t="str">
        <f>IFERROR(VLOOKUP(B297,'Commission Rates'!$A:$C,2,FALSE),"")</f>
        <v/>
      </c>
      <c r="E297" s="8">
        <f>IFERROR(VLOOKUP(B297,'Commission Rates'!$A:$C,3,FALSE),0)</f>
        <v>0</v>
      </c>
      <c r="F297" s="8" t="str">
        <f>IF(B297="","",D297*E297)</f>
        <v/>
      </c>
      <c r="H297" t="str">
        <f>IF(A297="","",WEEKNUM(A297,1))</f>
        <v/>
      </c>
      <c r="I297" t="str">
        <f>IFERROR(INDEX('Pay Calendar'!$B$2:$B$10,MATCH(H297,'Pay Calendar'!$A$2:$A$10,0)),"")</f>
        <v/>
      </c>
    </row>
    <row r="298" spans="1:9" x14ac:dyDescent="0.2">
      <c r="A298" s="7"/>
      <c r="C298" t="str">
        <f>IFERROR(VLOOKUP(B298,'Commission Rates'!$A:$C,2,FALSE),"")</f>
        <v/>
      </c>
      <c r="E298" s="8">
        <f>IFERROR(VLOOKUP(B298,'Commission Rates'!$A:$C,3,FALSE),0)</f>
        <v>0</v>
      </c>
      <c r="F298" s="8" t="str">
        <f>IF(B298="","",D298*E298)</f>
        <v/>
      </c>
      <c r="H298" t="str">
        <f>IF(A298="","",WEEKNUM(A298,1))</f>
        <v/>
      </c>
      <c r="I298" t="str">
        <f>IFERROR(INDEX('Pay Calendar'!$B$2:$B$10,MATCH(H298,'Pay Calendar'!$A$2:$A$10,0)),"")</f>
        <v/>
      </c>
    </row>
    <row r="299" spans="1:9" x14ac:dyDescent="0.2">
      <c r="A299" s="7"/>
      <c r="C299" t="str">
        <f>IFERROR(VLOOKUP(B299,'Commission Rates'!$A:$C,2,FALSE),"")</f>
        <v/>
      </c>
      <c r="E299" s="8">
        <f>IFERROR(VLOOKUP(B299,'Commission Rates'!$A:$C,3,FALSE),0)</f>
        <v>0</v>
      </c>
      <c r="F299" s="8" t="str">
        <f>IF(B299="","",D299*E299)</f>
        <v/>
      </c>
      <c r="H299" t="str">
        <f>IF(A299="","",WEEKNUM(A299,1))</f>
        <v/>
      </c>
      <c r="I299" t="str">
        <f>IFERROR(INDEX('Pay Calendar'!$B$2:$B$10,MATCH(H299,'Pay Calendar'!$A$2:$A$10,0)),"")</f>
        <v/>
      </c>
    </row>
    <row r="300" spans="1:9" x14ac:dyDescent="0.2">
      <c r="A300" s="7"/>
      <c r="C300" t="str">
        <f>IFERROR(VLOOKUP(B300,'Commission Rates'!$A:$C,2,FALSE),"")</f>
        <v/>
      </c>
      <c r="E300" s="8">
        <f>IFERROR(VLOOKUP(B300,'Commission Rates'!$A:$C,3,FALSE),0)</f>
        <v>0</v>
      </c>
      <c r="F300" s="8" t="str">
        <f>IF(B300="","",D300*E300)</f>
        <v/>
      </c>
      <c r="H300" t="str">
        <f>IF(A300="","",WEEKNUM(A300,1))</f>
        <v/>
      </c>
      <c r="I300" t="str">
        <f>IFERROR(INDEX('Pay Calendar'!$B$2:$B$10,MATCH(H300,'Pay Calendar'!$A$2:$A$10,0)),"")</f>
        <v/>
      </c>
    </row>
    <row r="301" spans="1:9" x14ac:dyDescent="0.2">
      <c r="A301" s="7"/>
      <c r="C301" t="str">
        <f>IFERROR(VLOOKUP(B301,'Commission Rates'!$A:$C,2,FALSE),"")</f>
        <v/>
      </c>
      <c r="E301" s="8">
        <f>IFERROR(VLOOKUP(B301,'Commission Rates'!$A:$C,3,FALSE),0)</f>
        <v>0</v>
      </c>
      <c r="F301" s="8" t="str">
        <f>IF(B301="","",D301*E301)</f>
        <v/>
      </c>
      <c r="H301" t="str">
        <f>IF(A301="","",WEEKNUM(A301,1))</f>
        <v/>
      </c>
      <c r="I301" t="str">
        <f>IFERROR(INDEX('Pay Calendar'!$B$2:$B$10,MATCH(H301,'Pay Calendar'!$A$2:$A$10,0)),"")</f>
        <v/>
      </c>
    </row>
    <row r="302" spans="1:9" x14ac:dyDescent="0.2">
      <c r="A302" s="7"/>
      <c r="C302" t="str">
        <f>IFERROR(VLOOKUP(B302,'Commission Rates'!$A:$C,2,FALSE),"")</f>
        <v/>
      </c>
      <c r="E302" s="8">
        <f>IFERROR(VLOOKUP(B302,'Commission Rates'!$A:$C,3,FALSE),0)</f>
        <v>0</v>
      </c>
      <c r="F302" s="8" t="str">
        <f>IF(B302="","",D302*E302)</f>
        <v/>
      </c>
      <c r="H302" t="str">
        <f>IF(A302="","",WEEKNUM(A302,1))</f>
        <v/>
      </c>
      <c r="I302" t="str">
        <f>IFERROR(INDEX('Pay Calendar'!$B$2:$B$10,MATCH(H302,'Pay Calendar'!$A$2:$A$10,0)),"")</f>
        <v/>
      </c>
    </row>
    <row r="303" spans="1:9" x14ac:dyDescent="0.2">
      <c r="A303" s="7"/>
      <c r="C303" t="str">
        <f>IFERROR(VLOOKUP(B303,'Commission Rates'!$A:$C,2,FALSE),"")</f>
        <v/>
      </c>
      <c r="E303" s="8">
        <f>IFERROR(VLOOKUP(B303,'Commission Rates'!$A:$C,3,FALSE),0)</f>
        <v>0</v>
      </c>
      <c r="F303" s="8" t="str">
        <f>IF(B303="","",D303*E303)</f>
        <v/>
      </c>
      <c r="H303" t="str">
        <f>IF(A303="","",WEEKNUM(A303,1))</f>
        <v/>
      </c>
      <c r="I303" t="str">
        <f>IFERROR(INDEX('Pay Calendar'!$B$2:$B$10,MATCH(H303,'Pay Calendar'!$A$2:$A$10,0)),"")</f>
        <v/>
      </c>
    </row>
    <row r="304" spans="1:9" x14ac:dyDescent="0.2">
      <c r="A304" s="7"/>
      <c r="C304" t="str">
        <f>IFERROR(VLOOKUP(B304,'Commission Rates'!$A:$C,2,FALSE),"")</f>
        <v/>
      </c>
      <c r="E304" s="8">
        <f>IFERROR(VLOOKUP(B304,'Commission Rates'!$A:$C,3,FALSE),0)</f>
        <v>0</v>
      </c>
      <c r="F304" s="8" t="str">
        <f>IF(B304="","",D304*E304)</f>
        <v/>
      </c>
      <c r="H304" t="str">
        <f>IF(A304="","",WEEKNUM(A304,1))</f>
        <v/>
      </c>
      <c r="I304" t="str">
        <f>IFERROR(INDEX('Pay Calendar'!$B$2:$B$10,MATCH(H304,'Pay Calendar'!$A$2:$A$10,0)),"")</f>
        <v/>
      </c>
    </row>
    <row r="305" spans="1:9" x14ac:dyDescent="0.2">
      <c r="A305" s="7"/>
      <c r="C305" t="str">
        <f>IFERROR(VLOOKUP(B305,'Commission Rates'!$A:$C,2,FALSE),"")</f>
        <v/>
      </c>
      <c r="E305" s="8">
        <f>IFERROR(VLOOKUP(B305,'Commission Rates'!$A:$C,3,FALSE),0)</f>
        <v>0</v>
      </c>
      <c r="F305" s="8" t="str">
        <f>IF(B305="","",D305*E305)</f>
        <v/>
      </c>
      <c r="H305" t="str">
        <f>IF(A305="","",WEEKNUM(A305,1))</f>
        <v/>
      </c>
      <c r="I305" t="str">
        <f>IFERROR(INDEX('Pay Calendar'!$B$2:$B$10,MATCH(H305,'Pay Calendar'!$A$2:$A$10,0)),"")</f>
        <v/>
      </c>
    </row>
    <row r="306" spans="1:9" x14ac:dyDescent="0.2">
      <c r="A306" s="7"/>
      <c r="C306" t="str">
        <f>IFERROR(VLOOKUP(B306,'Commission Rates'!$A:$C,2,FALSE),"")</f>
        <v/>
      </c>
      <c r="E306" s="8">
        <f>IFERROR(VLOOKUP(B306,'Commission Rates'!$A:$C,3,FALSE),0)</f>
        <v>0</v>
      </c>
      <c r="F306" s="8" t="str">
        <f>IF(B306="","",D306*E306)</f>
        <v/>
      </c>
      <c r="H306" t="str">
        <f>IF(A306="","",WEEKNUM(A306,1))</f>
        <v/>
      </c>
      <c r="I306" t="str">
        <f>IFERROR(INDEX('Pay Calendar'!$B$2:$B$10,MATCH(H306,'Pay Calendar'!$A$2:$A$10,0)),"")</f>
        <v/>
      </c>
    </row>
    <row r="307" spans="1:9" x14ac:dyDescent="0.2">
      <c r="A307" s="7"/>
      <c r="C307" t="str">
        <f>IFERROR(VLOOKUP(B307,'Commission Rates'!$A:$C,2,FALSE),"")</f>
        <v/>
      </c>
      <c r="E307" s="8">
        <f>IFERROR(VLOOKUP(B307,'Commission Rates'!$A:$C,3,FALSE),0)</f>
        <v>0</v>
      </c>
      <c r="F307" s="8" t="str">
        <f>IF(B307="","",D307*E307)</f>
        <v/>
      </c>
      <c r="H307" t="str">
        <f>IF(A307="","",WEEKNUM(A307,1))</f>
        <v/>
      </c>
      <c r="I307" t="str">
        <f>IFERROR(INDEX('Pay Calendar'!$B$2:$B$10,MATCH(H307,'Pay Calendar'!$A$2:$A$10,0)),"")</f>
        <v/>
      </c>
    </row>
    <row r="308" spans="1:9" x14ac:dyDescent="0.2">
      <c r="A308" s="7"/>
      <c r="C308" t="str">
        <f>IFERROR(VLOOKUP(B308,'Commission Rates'!$A:$C,2,FALSE),"")</f>
        <v/>
      </c>
      <c r="E308" s="8">
        <f>IFERROR(VLOOKUP(B308,'Commission Rates'!$A:$C,3,FALSE),0)</f>
        <v>0</v>
      </c>
      <c r="F308" s="8" t="str">
        <f>IF(B308="","",D308*E308)</f>
        <v/>
      </c>
      <c r="H308" t="str">
        <f>IF(A308="","",WEEKNUM(A308,1))</f>
        <v/>
      </c>
      <c r="I308" t="str">
        <f>IFERROR(INDEX('Pay Calendar'!$B$2:$B$10,MATCH(H308,'Pay Calendar'!$A$2:$A$10,0)),"")</f>
        <v/>
      </c>
    </row>
    <row r="309" spans="1:9" x14ac:dyDescent="0.2">
      <c r="A309" s="7"/>
      <c r="C309" t="str">
        <f>IFERROR(VLOOKUP(B309,'Commission Rates'!$A:$C,2,FALSE),"")</f>
        <v/>
      </c>
      <c r="E309" s="8">
        <f>IFERROR(VLOOKUP(B309,'Commission Rates'!$A:$C,3,FALSE),0)</f>
        <v>0</v>
      </c>
      <c r="F309" s="8" t="str">
        <f>IF(B309="","",D309*E309)</f>
        <v/>
      </c>
      <c r="H309" t="str">
        <f>IF(A309="","",WEEKNUM(A309,1))</f>
        <v/>
      </c>
      <c r="I309" t="str">
        <f>IFERROR(INDEX('Pay Calendar'!$B$2:$B$10,MATCH(H309,'Pay Calendar'!$A$2:$A$10,0)),"")</f>
        <v/>
      </c>
    </row>
    <row r="310" spans="1:9" x14ac:dyDescent="0.2">
      <c r="A310" s="7"/>
      <c r="C310" t="str">
        <f>IFERROR(VLOOKUP(B310,'Commission Rates'!$A:$C,2,FALSE),"")</f>
        <v/>
      </c>
      <c r="E310" s="8">
        <f>IFERROR(VLOOKUP(B310,'Commission Rates'!$A:$C,3,FALSE),0)</f>
        <v>0</v>
      </c>
      <c r="F310" s="8" t="str">
        <f>IF(B310="","",D310*E310)</f>
        <v/>
      </c>
      <c r="H310" t="str">
        <f>IF(A310="","",WEEKNUM(A310,1))</f>
        <v/>
      </c>
      <c r="I310" t="str">
        <f>IFERROR(INDEX('Pay Calendar'!$B$2:$B$10,MATCH(H310,'Pay Calendar'!$A$2:$A$10,0)),"")</f>
        <v/>
      </c>
    </row>
    <row r="311" spans="1:9" x14ac:dyDescent="0.2">
      <c r="A311" s="7"/>
      <c r="C311" t="str">
        <f>IFERROR(VLOOKUP(B311,'Commission Rates'!$A:$C,2,FALSE),"")</f>
        <v/>
      </c>
      <c r="E311" s="8">
        <f>IFERROR(VLOOKUP(B311,'Commission Rates'!$A:$C,3,FALSE),0)</f>
        <v>0</v>
      </c>
      <c r="F311" s="8" t="str">
        <f>IF(B311="","",D311*E311)</f>
        <v/>
      </c>
      <c r="H311" t="str">
        <f>IF(A311="","",WEEKNUM(A311,1))</f>
        <v/>
      </c>
      <c r="I311" t="str">
        <f>IFERROR(INDEX('Pay Calendar'!$B$2:$B$10,MATCH(H311,'Pay Calendar'!$A$2:$A$10,0)),"")</f>
        <v/>
      </c>
    </row>
    <row r="312" spans="1:9" x14ac:dyDescent="0.2">
      <c r="A312" s="7"/>
      <c r="C312" t="str">
        <f>IFERROR(VLOOKUP(B312,'Commission Rates'!$A:$C,2,FALSE),"")</f>
        <v/>
      </c>
      <c r="E312" s="8">
        <f>IFERROR(VLOOKUP(B312,'Commission Rates'!$A:$C,3,FALSE),0)</f>
        <v>0</v>
      </c>
      <c r="F312" s="8" t="str">
        <f>IF(B312="","",D312*E312)</f>
        <v/>
      </c>
      <c r="H312" t="str">
        <f>IF(A312="","",WEEKNUM(A312,1))</f>
        <v/>
      </c>
      <c r="I312" t="str">
        <f>IFERROR(INDEX('Pay Calendar'!$B$2:$B$10,MATCH(H312,'Pay Calendar'!$A$2:$A$10,0)),"")</f>
        <v/>
      </c>
    </row>
    <row r="313" spans="1:9" x14ac:dyDescent="0.2">
      <c r="A313" s="7"/>
      <c r="C313" t="str">
        <f>IFERROR(VLOOKUP(B313,'Commission Rates'!$A:$C,2,FALSE),"")</f>
        <v/>
      </c>
      <c r="E313" s="8">
        <f>IFERROR(VLOOKUP(B313,'Commission Rates'!$A:$C,3,FALSE),0)</f>
        <v>0</v>
      </c>
      <c r="F313" s="8" t="str">
        <f>IF(B313="","",D313*E313)</f>
        <v/>
      </c>
      <c r="H313" t="str">
        <f>IF(A313="","",WEEKNUM(A313,1))</f>
        <v/>
      </c>
      <c r="I313" t="str">
        <f>IFERROR(INDEX('Pay Calendar'!$B$2:$B$10,MATCH(H313,'Pay Calendar'!$A$2:$A$10,0)),"")</f>
        <v/>
      </c>
    </row>
    <row r="314" spans="1:9" x14ac:dyDescent="0.2">
      <c r="A314" s="7"/>
      <c r="C314" t="str">
        <f>IFERROR(VLOOKUP(B314,'Commission Rates'!$A:$C,2,FALSE),"")</f>
        <v/>
      </c>
      <c r="E314" s="8">
        <f>IFERROR(VLOOKUP(B314,'Commission Rates'!$A:$C,3,FALSE),0)</f>
        <v>0</v>
      </c>
      <c r="F314" s="8" t="str">
        <f>IF(B314="","",D314*E314)</f>
        <v/>
      </c>
      <c r="H314" t="str">
        <f>IF(A314="","",WEEKNUM(A314,1))</f>
        <v/>
      </c>
      <c r="I314" t="str">
        <f>IFERROR(INDEX('Pay Calendar'!$B$2:$B$10,MATCH(H314,'Pay Calendar'!$A$2:$A$10,0)),"")</f>
        <v/>
      </c>
    </row>
    <row r="315" spans="1:9" x14ac:dyDescent="0.2">
      <c r="A315" s="7"/>
      <c r="C315" t="str">
        <f>IFERROR(VLOOKUP(B315,'Commission Rates'!$A:$C,2,FALSE),"")</f>
        <v/>
      </c>
      <c r="E315" s="8">
        <f>IFERROR(VLOOKUP(B315,'Commission Rates'!$A:$C,3,FALSE),0)</f>
        <v>0</v>
      </c>
      <c r="F315" s="8" t="str">
        <f>IF(B315="","",D315*E315)</f>
        <v/>
      </c>
      <c r="H315" t="str">
        <f>IF(A315="","",WEEKNUM(A315,1))</f>
        <v/>
      </c>
      <c r="I315" t="str">
        <f>IFERROR(INDEX('Pay Calendar'!$B$2:$B$10,MATCH(H315,'Pay Calendar'!$A$2:$A$10,0)),"")</f>
        <v/>
      </c>
    </row>
    <row r="316" spans="1:9" x14ac:dyDescent="0.2">
      <c r="A316" s="7"/>
      <c r="C316" t="str">
        <f>IFERROR(VLOOKUP(B316,'Commission Rates'!$A:$C,2,FALSE),"")</f>
        <v/>
      </c>
      <c r="E316" s="8">
        <f>IFERROR(VLOOKUP(B316,'Commission Rates'!$A:$C,3,FALSE),0)</f>
        <v>0</v>
      </c>
      <c r="F316" s="8" t="str">
        <f>IF(B316="","",D316*E316)</f>
        <v/>
      </c>
      <c r="H316" t="str">
        <f>IF(A316="","",WEEKNUM(A316,1))</f>
        <v/>
      </c>
      <c r="I316" t="str">
        <f>IFERROR(INDEX('Pay Calendar'!$B$2:$B$10,MATCH(H316,'Pay Calendar'!$A$2:$A$10,0)),"")</f>
        <v/>
      </c>
    </row>
    <row r="317" spans="1:9" x14ac:dyDescent="0.2">
      <c r="A317" s="7"/>
      <c r="C317" t="str">
        <f>IFERROR(VLOOKUP(B317,'Commission Rates'!$A:$C,2,FALSE),"")</f>
        <v/>
      </c>
      <c r="E317" s="8">
        <f>IFERROR(VLOOKUP(B317,'Commission Rates'!$A:$C,3,FALSE),0)</f>
        <v>0</v>
      </c>
      <c r="F317" s="8" t="str">
        <f>IF(B317="","",D317*E317)</f>
        <v/>
      </c>
      <c r="H317" t="str">
        <f>IF(A317="","",WEEKNUM(A317,1))</f>
        <v/>
      </c>
      <c r="I317" t="str">
        <f>IFERROR(INDEX('Pay Calendar'!$B$2:$B$10,MATCH(H317,'Pay Calendar'!$A$2:$A$10,0)),"")</f>
        <v/>
      </c>
    </row>
    <row r="318" spans="1:9" x14ac:dyDescent="0.2">
      <c r="A318" s="7"/>
      <c r="C318" t="str">
        <f>IFERROR(VLOOKUP(B318,'Commission Rates'!$A:$C,2,FALSE),"")</f>
        <v/>
      </c>
      <c r="E318" s="8">
        <f>IFERROR(VLOOKUP(B318,'Commission Rates'!$A:$C,3,FALSE),0)</f>
        <v>0</v>
      </c>
      <c r="F318" s="8" t="str">
        <f>IF(B318="","",D318*E318)</f>
        <v/>
      </c>
      <c r="H318" t="str">
        <f>IF(A318="","",WEEKNUM(A318,1))</f>
        <v/>
      </c>
      <c r="I318" t="str">
        <f>IFERROR(INDEX('Pay Calendar'!$B$2:$B$10,MATCH(H318,'Pay Calendar'!$A$2:$A$10,0)),"")</f>
        <v/>
      </c>
    </row>
    <row r="319" spans="1:9" x14ac:dyDescent="0.2">
      <c r="A319" s="7"/>
      <c r="C319" t="str">
        <f>IFERROR(VLOOKUP(B319,'Commission Rates'!$A:$C,2,FALSE),"")</f>
        <v/>
      </c>
      <c r="E319" s="8">
        <f>IFERROR(VLOOKUP(B319,'Commission Rates'!$A:$C,3,FALSE),0)</f>
        <v>0</v>
      </c>
      <c r="F319" s="8" t="str">
        <f>IF(B319="","",D319*E319)</f>
        <v/>
      </c>
      <c r="H319" t="str">
        <f>IF(A319="","",WEEKNUM(A319,1))</f>
        <v/>
      </c>
      <c r="I319" t="str">
        <f>IFERROR(INDEX('Pay Calendar'!$B$2:$B$10,MATCH(H319,'Pay Calendar'!$A$2:$A$10,0)),"")</f>
        <v/>
      </c>
    </row>
    <row r="320" spans="1:9" x14ac:dyDescent="0.2">
      <c r="A320" s="7"/>
      <c r="C320" t="str">
        <f>IFERROR(VLOOKUP(B320,'Commission Rates'!$A:$C,2,FALSE),"")</f>
        <v/>
      </c>
      <c r="E320" s="8">
        <f>IFERROR(VLOOKUP(B320,'Commission Rates'!$A:$C,3,FALSE),0)</f>
        <v>0</v>
      </c>
      <c r="F320" s="8" t="str">
        <f>IF(B320="","",D320*E320)</f>
        <v/>
      </c>
      <c r="H320" t="str">
        <f>IF(A320="","",WEEKNUM(A320,1))</f>
        <v/>
      </c>
      <c r="I320" t="str">
        <f>IFERROR(INDEX('Pay Calendar'!$B$2:$B$10,MATCH(H320,'Pay Calendar'!$A$2:$A$10,0)),"")</f>
        <v/>
      </c>
    </row>
    <row r="321" spans="1:9" x14ac:dyDescent="0.2">
      <c r="A321" s="7"/>
      <c r="C321" t="str">
        <f>IFERROR(VLOOKUP(B321,'Commission Rates'!$A:$C,2,FALSE),"")</f>
        <v/>
      </c>
      <c r="E321" s="8">
        <f>IFERROR(VLOOKUP(B321,'Commission Rates'!$A:$C,3,FALSE),0)</f>
        <v>0</v>
      </c>
      <c r="F321" s="8" t="str">
        <f>IF(B321="","",D321*E321)</f>
        <v/>
      </c>
      <c r="H321" t="str">
        <f>IF(A321="","",WEEKNUM(A321,1))</f>
        <v/>
      </c>
      <c r="I321" t="str">
        <f>IFERROR(INDEX('Pay Calendar'!$B$2:$B$10,MATCH(H321,'Pay Calendar'!$A$2:$A$10,0)),"")</f>
        <v/>
      </c>
    </row>
    <row r="322" spans="1:9" x14ac:dyDescent="0.2">
      <c r="A322" s="7"/>
      <c r="C322" t="str">
        <f>IFERROR(VLOOKUP(B322,'Commission Rates'!$A:$C,2,FALSE),"")</f>
        <v/>
      </c>
      <c r="E322" s="8">
        <f>IFERROR(VLOOKUP(B322,'Commission Rates'!$A:$C,3,FALSE),0)</f>
        <v>0</v>
      </c>
      <c r="F322" s="8" t="str">
        <f>IF(B322="","",D322*E322)</f>
        <v/>
      </c>
      <c r="H322" t="str">
        <f>IF(A322="","",WEEKNUM(A322,1))</f>
        <v/>
      </c>
      <c r="I322" t="str">
        <f>IFERROR(INDEX('Pay Calendar'!$B$2:$B$10,MATCH(H322,'Pay Calendar'!$A$2:$A$10,0)),"")</f>
        <v/>
      </c>
    </row>
    <row r="323" spans="1:9" x14ac:dyDescent="0.2">
      <c r="A323" s="7"/>
      <c r="C323" t="str">
        <f>IFERROR(VLOOKUP(B323,'Commission Rates'!$A:$C,2,FALSE),"")</f>
        <v/>
      </c>
      <c r="E323" s="8">
        <f>IFERROR(VLOOKUP(B323,'Commission Rates'!$A:$C,3,FALSE),0)</f>
        <v>0</v>
      </c>
      <c r="F323" s="8" t="str">
        <f>IF(B323="","",D323*E323)</f>
        <v/>
      </c>
      <c r="H323" t="str">
        <f>IF(A323="","",WEEKNUM(A323,1))</f>
        <v/>
      </c>
      <c r="I323" t="str">
        <f>IFERROR(INDEX('Pay Calendar'!$B$2:$B$10,MATCH(H323,'Pay Calendar'!$A$2:$A$10,0)),"")</f>
        <v/>
      </c>
    </row>
    <row r="324" spans="1:9" x14ac:dyDescent="0.2">
      <c r="A324" s="7"/>
      <c r="C324" t="str">
        <f>IFERROR(VLOOKUP(B324,'Commission Rates'!$A:$C,2,FALSE),"")</f>
        <v/>
      </c>
      <c r="E324" s="8">
        <f>IFERROR(VLOOKUP(B324,'Commission Rates'!$A:$C,3,FALSE),0)</f>
        <v>0</v>
      </c>
      <c r="F324" s="8" t="str">
        <f>IF(B324="","",D324*E324)</f>
        <v/>
      </c>
      <c r="H324" t="str">
        <f>IF(A324="","",WEEKNUM(A324,1))</f>
        <v/>
      </c>
      <c r="I324" t="str">
        <f>IFERROR(INDEX('Pay Calendar'!$B$2:$B$10,MATCH(H324,'Pay Calendar'!$A$2:$A$10,0)),"")</f>
        <v/>
      </c>
    </row>
    <row r="325" spans="1:9" x14ac:dyDescent="0.2">
      <c r="A325" s="7"/>
      <c r="C325" t="str">
        <f>IFERROR(VLOOKUP(B325,'Commission Rates'!$A:$C,2,FALSE),"")</f>
        <v/>
      </c>
      <c r="E325" s="8">
        <f>IFERROR(VLOOKUP(B325,'Commission Rates'!$A:$C,3,FALSE),0)</f>
        <v>0</v>
      </c>
      <c r="F325" s="8" t="str">
        <f>IF(B325="","",D325*E325)</f>
        <v/>
      </c>
      <c r="H325" t="str">
        <f>IF(A325="","",WEEKNUM(A325,1))</f>
        <v/>
      </c>
      <c r="I325" t="str">
        <f>IFERROR(INDEX('Pay Calendar'!$B$2:$B$10,MATCH(H325,'Pay Calendar'!$A$2:$A$10,0)),"")</f>
        <v/>
      </c>
    </row>
    <row r="326" spans="1:9" x14ac:dyDescent="0.2">
      <c r="A326" s="7"/>
      <c r="C326" t="str">
        <f>IFERROR(VLOOKUP(B326,'Commission Rates'!$A:$C,2,FALSE),"")</f>
        <v/>
      </c>
      <c r="E326" s="8">
        <f>IFERROR(VLOOKUP(B326,'Commission Rates'!$A:$C,3,FALSE),0)</f>
        <v>0</v>
      </c>
      <c r="F326" s="8" t="str">
        <f>IF(B326="","",D326*E326)</f>
        <v/>
      </c>
      <c r="H326" t="str">
        <f>IF(A326="","",WEEKNUM(A326,1))</f>
        <v/>
      </c>
      <c r="I326" t="str">
        <f>IFERROR(INDEX('Pay Calendar'!$B$2:$B$10,MATCH(H326,'Pay Calendar'!$A$2:$A$10,0)),"")</f>
        <v/>
      </c>
    </row>
    <row r="327" spans="1:9" x14ac:dyDescent="0.2">
      <c r="A327" s="7"/>
      <c r="C327" t="str">
        <f>IFERROR(VLOOKUP(B327,'Commission Rates'!$A:$C,2,FALSE),"")</f>
        <v/>
      </c>
      <c r="E327" s="8">
        <f>IFERROR(VLOOKUP(B327,'Commission Rates'!$A:$C,3,FALSE),0)</f>
        <v>0</v>
      </c>
      <c r="F327" s="8" t="str">
        <f>IF(B327="","",D327*E327)</f>
        <v/>
      </c>
      <c r="H327" t="str">
        <f>IF(A327="","",WEEKNUM(A327,1))</f>
        <v/>
      </c>
      <c r="I327" t="str">
        <f>IFERROR(INDEX('Pay Calendar'!$B$2:$B$10,MATCH(H327,'Pay Calendar'!$A$2:$A$10,0)),"")</f>
        <v/>
      </c>
    </row>
    <row r="328" spans="1:9" x14ac:dyDescent="0.2">
      <c r="A328" s="7"/>
      <c r="C328" t="str">
        <f>IFERROR(VLOOKUP(B328,'Commission Rates'!$A:$C,2,FALSE),"")</f>
        <v/>
      </c>
      <c r="E328" s="8">
        <f>IFERROR(VLOOKUP(B328,'Commission Rates'!$A:$C,3,FALSE),0)</f>
        <v>0</v>
      </c>
      <c r="F328" s="8" t="str">
        <f>IF(B328="","",D328*E328)</f>
        <v/>
      </c>
      <c r="H328" t="str">
        <f>IF(A328="","",WEEKNUM(A328,1))</f>
        <v/>
      </c>
      <c r="I328" t="str">
        <f>IFERROR(INDEX('Pay Calendar'!$B$2:$B$10,MATCH(H328,'Pay Calendar'!$A$2:$A$10,0)),"")</f>
        <v/>
      </c>
    </row>
    <row r="329" spans="1:9" x14ac:dyDescent="0.2">
      <c r="A329" s="7"/>
      <c r="C329" t="str">
        <f>IFERROR(VLOOKUP(B329,'Commission Rates'!$A:$C,2,FALSE),"")</f>
        <v/>
      </c>
      <c r="E329" s="8">
        <f>IFERROR(VLOOKUP(B329,'Commission Rates'!$A:$C,3,FALSE),0)</f>
        <v>0</v>
      </c>
      <c r="F329" s="8" t="str">
        <f>IF(B329="","",D329*E329)</f>
        <v/>
      </c>
      <c r="H329" t="str">
        <f>IF(A329="","",WEEKNUM(A329,1))</f>
        <v/>
      </c>
      <c r="I329" t="str">
        <f>IFERROR(INDEX('Pay Calendar'!$B$2:$B$10,MATCH(H329,'Pay Calendar'!$A$2:$A$10,0)),"")</f>
        <v/>
      </c>
    </row>
    <row r="330" spans="1:9" x14ac:dyDescent="0.2">
      <c r="A330" s="7"/>
      <c r="C330" t="str">
        <f>IFERROR(VLOOKUP(B330,'Commission Rates'!$A:$C,2,FALSE),"")</f>
        <v/>
      </c>
      <c r="E330" s="8">
        <f>IFERROR(VLOOKUP(B330,'Commission Rates'!$A:$C,3,FALSE),0)</f>
        <v>0</v>
      </c>
      <c r="F330" s="8" t="str">
        <f>IF(B330="","",D330*E330)</f>
        <v/>
      </c>
      <c r="H330" t="str">
        <f>IF(A330="","",WEEKNUM(A330,1))</f>
        <v/>
      </c>
      <c r="I330" t="str">
        <f>IFERROR(INDEX('Pay Calendar'!$B$2:$B$10,MATCH(H330,'Pay Calendar'!$A$2:$A$10,0)),"")</f>
        <v/>
      </c>
    </row>
    <row r="331" spans="1:9" x14ac:dyDescent="0.2">
      <c r="A331" s="7"/>
      <c r="C331" t="str">
        <f>IFERROR(VLOOKUP(B331,'Commission Rates'!$A:$C,2,FALSE),"")</f>
        <v/>
      </c>
      <c r="E331" s="8">
        <f>IFERROR(VLOOKUP(B331,'Commission Rates'!$A:$C,3,FALSE),0)</f>
        <v>0</v>
      </c>
      <c r="F331" s="8" t="str">
        <f>IF(B331="","",D331*E331)</f>
        <v/>
      </c>
      <c r="H331" t="str">
        <f>IF(A331="","",WEEKNUM(A331,1))</f>
        <v/>
      </c>
      <c r="I331" t="str">
        <f>IFERROR(INDEX('Pay Calendar'!$B$2:$B$10,MATCH(H331,'Pay Calendar'!$A$2:$A$10,0)),"")</f>
        <v/>
      </c>
    </row>
    <row r="332" spans="1:9" x14ac:dyDescent="0.2">
      <c r="A332" s="7"/>
      <c r="C332" t="str">
        <f>IFERROR(VLOOKUP(B332,'Commission Rates'!$A:$C,2,FALSE),"")</f>
        <v/>
      </c>
      <c r="E332" s="8">
        <f>IFERROR(VLOOKUP(B332,'Commission Rates'!$A:$C,3,FALSE),0)</f>
        <v>0</v>
      </c>
      <c r="F332" s="8" t="str">
        <f>IF(B332="","",D332*E332)</f>
        <v/>
      </c>
      <c r="H332" t="str">
        <f>IF(A332="","",WEEKNUM(A332,1))</f>
        <v/>
      </c>
      <c r="I332" t="str">
        <f>IFERROR(INDEX('Pay Calendar'!$B$2:$B$10,MATCH(H332,'Pay Calendar'!$A$2:$A$10,0)),"")</f>
        <v/>
      </c>
    </row>
    <row r="333" spans="1:9" x14ac:dyDescent="0.2">
      <c r="A333" s="7"/>
      <c r="C333" t="str">
        <f>IFERROR(VLOOKUP(B333,'Commission Rates'!$A:$C,2,FALSE),"")</f>
        <v/>
      </c>
      <c r="E333" s="8">
        <f>IFERROR(VLOOKUP(B333,'Commission Rates'!$A:$C,3,FALSE),0)</f>
        <v>0</v>
      </c>
      <c r="F333" s="8" t="str">
        <f>IF(B333="","",D333*E333)</f>
        <v/>
      </c>
      <c r="H333" t="str">
        <f>IF(A333="","",WEEKNUM(A333,1))</f>
        <v/>
      </c>
      <c r="I333" t="str">
        <f>IFERROR(INDEX('Pay Calendar'!$B$2:$B$10,MATCH(H333,'Pay Calendar'!$A$2:$A$10,0)),"")</f>
        <v/>
      </c>
    </row>
    <row r="334" spans="1:9" x14ac:dyDescent="0.2">
      <c r="A334" s="7"/>
      <c r="C334" t="str">
        <f>IFERROR(VLOOKUP(B334,'Commission Rates'!$A:$C,2,FALSE),"")</f>
        <v/>
      </c>
      <c r="E334" s="8">
        <f>IFERROR(VLOOKUP(B334,'Commission Rates'!$A:$C,3,FALSE),0)</f>
        <v>0</v>
      </c>
      <c r="F334" s="8" t="str">
        <f>IF(B334="","",D334*E334)</f>
        <v/>
      </c>
      <c r="H334" t="str">
        <f>IF(A334="","",WEEKNUM(A334,1))</f>
        <v/>
      </c>
      <c r="I334" t="str">
        <f>IFERROR(INDEX('Pay Calendar'!$B$2:$B$10,MATCH(H334,'Pay Calendar'!$A$2:$A$10,0)),"")</f>
        <v/>
      </c>
    </row>
    <row r="335" spans="1:9" x14ac:dyDescent="0.2">
      <c r="A335" s="7"/>
      <c r="C335" t="str">
        <f>IFERROR(VLOOKUP(B335,'Commission Rates'!$A:$C,2,FALSE),"")</f>
        <v/>
      </c>
      <c r="E335" s="8">
        <f>IFERROR(VLOOKUP(B335,'Commission Rates'!$A:$C,3,FALSE),0)</f>
        <v>0</v>
      </c>
      <c r="F335" s="8" t="str">
        <f>IF(B335="","",D335*E335)</f>
        <v/>
      </c>
      <c r="H335" t="str">
        <f>IF(A335="","",WEEKNUM(A335,1))</f>
        <v/>
      </c>
      <c r="I335" t="str">
        <f>IFERROR(INDEX('Pay Calendar'!$B$2:$B$10,MATCH(H335,'Pay Calendar'!$A$2:$A$10,0)),"")</f>
        <v/>
      </c>
    </row>
    <row r="336" spans="1:9" x14ac:dyDescent="0.2">
      <c r="A336" s="7"/>
      <c r="C336" t="str">
        <f>IFERROR(VLOOKUP(B336,'Commission Rates'!$A:$C,2,FALSE),"")</f>
        <v/>
      </c>
      <c r="E336" s="8">
        <f>IFERROR(VLOOKUP(B336,'Commission Rates'!$A:$C,3,FALSE),0)</f>
        <v>0</v>
      </c>
      <c r="F336" s="8" t="str">
        <f>IF(B336="","",D336*E336)</f>
        <v/>
      </c>
      <c r="H336" t="str">
        <f>IF(A336="","",WEEKNUM(A336,1))</f>
        <v/>
      </c>
      <c r="I336" t="str">
        <f>IFERROR(INDEX('Pay Calendar'!$B$2:$B$10,MATCH(H336,'Pay Calendar'!$A$2:$A$10,0)),"")</f>
        <v/>
      </c>
    </row>
    <row r="337" spans="1:9" x14ac:dyDescent="0.2">
      <c r="A337" s="7"/>
      <c r="C337" t="str">
        <f>IFERROR(VLOOKUP(B337,'Commission Rates'!$A:$C,2,FALSE),"")</f>
        <v/>
      </c>
      <c r="E337" s="8">
        <f>IFERROR(VLOOKUP(B337,'Commission Rates'!$A:$C,3,FALSE),0)</f>
        <v>0</v>
      </c>
      <c r="F337" s="8" t="str">
        <f>IF(B337="","",D337*E337)</f>
        <v/>
      </c>
      <c r="H337" t="str">
        <f>IF(A337="","",WEEKNUM(A337,1))</f>
        <v/>
      </c>
      <c r="I337" t="str">
        <f>IFERROR(INDEX('Pay Calendar'!$B$2:$B$10,MATCH(H337,'Pay Calendar'!$A$2:$A$10,0)),"")</f>
        <v/>
      </c>
    </row>
    <row r="338" spans="1:9" x14ac:dyDescent="0.2">
      <c r="A338" s="7"/>
      <c r="C338" t="str">
        <f>IFERROR(VLOOKUP(B338,'Commission Rates'!$A:$C,2,FALSE),"")</f>
        <v/>
      </c>
      <c r="E338" s="8">
        <f>IFERROR(VLOOKUP(B338,'Commission Rates'!$A:$C,3,FALSE),0)</f>
        <v>0</v>
      </c>
      <c r="F338" s="8" t="str">
        <f>IF(B338="","",D338*E338)</f>
        <v/>
      </c>
      <c r="H338" t="str">
        <f>IF(A338="","",WEEKNUM(A338,1))</f>
        <v/>
      </c>
      <c r="I338" t="str">
        <f>IFERROR(INDEX('Pay Calendar'!$B$2:$B$10,MATCH(H338,'Pay Calendar'!$A$2:$A$10,0)),"")</f>
        <v/>
      </c>
    </row>
    <row r="339" spans="1:9" x14ac:dyDescent="0.2">
      <c r="A339" s="7"/>
      <c r="C339" t="str">
        <f>IFERROR(VLOOKUP(B339,'Commission Rates'!$A:$C,2,FALSE),"")</f>
        <v/>
      </c>
      <c r="E339" s="8">
        <f>IFERROR(VLOOKUP(B339,'Commission Rates'!$A:$C,3,FALSE),0)</f>
        <v>0</v>
      </c>
      <c r="F339" s="8" t="str">
        <f>IF(B339="","",D339*E339)</f>
        <v/>
      </c>
      <c r="H339" t="str">
        <f>IF(A339="","",WEEKNUM(A339,1))</f>
        <v/>
      </c>
      <c r="I339" t="str">
        <f>IFERROR(INDEX('Pay Calendar'!$B$2:$B$10,MATCH(H339,'Pay Calendar'!$A$2:$A$10,0)),"")</f>
        <v/>
      </c>
    </row>
    <row r="340" spans="1:9" x14ac:dyDescent="0.2">
      <c r="A340" s="7"/>
      <c r="C340" t="str">
        <f>IFERROR(VLOOKUP(B340,'Commission Rates'!$A:$C,2,FALSE),"")</f>
        <v/>
      </c>
      <c r="E340" s="8">
        <f>IFERROR(VLOOKUP(B340,'Commission Rates'!$A:$C,3,FALSE),0)</f>
        <v>0</v>
      </c>
      <c r="F340" s="8" t="str">
        <f>IF(B340="","",D340*E340)</f>
        <v/>
      </c>
      <c r="H340" t="str">
        <f>IF(A340="","",WEEKNUM(A340,1))</f>
        <v/>
      </c>
      <c r="I340" t="str">
        <f>IFERROR(INDEX('Pay Calendar'!$B$2:$B$10,MATCH(H340,'Pay Calendar'!$A$2:$A$10,0)),"")</f>
        <v/>
      </c>
    </row>
    <row r="341" spans="1:9" x14ac:dyDescent="0.2">
      <c r="A341" s="7"/>
      <c r="C341" t="str">
        <f>IFERROR(VLOOKUP(B341,'Commission Rates'!$A:$C,2,FALSE),"")</f>
        <v/>
      </c>
      <c r="E341" s="8">
        <f>IFERROR(VLOOKUP(B341,'Commission Rates'!$A:$C,3,FALSE),0)</f>
        <v>0</v>
      </c>
      <c r="F341" s="8" t="str">
        <f>IF(B341="","",D341*E341)</f>
        <v/>
      </c>
      <c r="H341" t="str">
        <f>IF(A341="","",WEEKNUM(A341,1))</f>
        <v/>
      </c>
      <c r="I341" t="str">
        <f>IFERROR(INDEX('Pay Calendar'!$B$2:$B$10,MATCH(H341,'Pay Calendar'!$A$2:$A$10,0)),"")</f>
        <v/>
      </c>
    </row>
    <row r="342" spans="1:9" x14ac:dyDescent="0.2">
      <c r="A342" s="7"/>
      <c r="C342" t="str">
        <f>IFERROR(VLOOKUP(B342,'Commission Rates'!$A:$C,2,FALSE),"")</f>
        <v/>
      </c>
      <c r="E342" s="8">
        <f>IFERROR(VLOOKUP(B342,'Commission Rates'!$A:$C,3,FALSE),0)</f>
        <v>0</v>
      </c>
      <c r="F342" s="8" t="str">
        <f>IF(B342="","",D342*E342)</f>
        <v/>
      </c>
      <c r="H342" t="str">
        <f>IF(A342="","",WEEKNUM(A342,1))</f>
        <v/>
      </c>
      <c r="I342" t="str">
        <f>IFERROR(INDEX('Pay Calendar'!$B$2:$B$10,MATCH(H342,'Pay Calendar'!$A$2:$A$10,0)),"")</f>
        <v/>
      </c>
    </row>
    <row r="343" spans="1:9" x14ac:dyDescent="0.2">
      <c r="A343" s="7"/>
      <c r="C343" t="str">
        <f>IFERROR(VLOOKUP(B343,'Commission Rates'!$A:$C,2,FALSE),"")</f>
        <v/>
      </c>
      <c r="E343" s="8">
        <f>IFERROR(VLOOKUP(B343,'Commission Rates'!$A:$C,3,FALSE),0)</f>
        <v>0</v>
      </c>
      <c r="F343" s="8" t="str">
        <f>IF(B343="","",D343*E343)</f>
        <v/>
      </c>
      <c r="H343" t="str">
        <f>IF(A343="","",WEEKNUM(A343,1))</f>
        <v/>
      </c>
      <c r="I343" t="str">
        <f>IFERROR(INDEX('Pay Calendar'!$B$2:$B$10,MATCH(H343,'Pay Calendar'!$A$2:$A$10,0)),"")</f>
        <v/>
      </c>
    </row>
    <row r="344" spans="1:9" x14ac:dyDescent="0.2">
      <c r="A344" s="7"/>
      <c r="C344" t="str">
        <f>IFERROR(VLOOKUP(B344,'Commission Rates'!$A:$C,2,FALSE),"")</f>
        <v/>
      </c>
      <c r="E344" s="8">
        <f>IFERROR(VLOOKUP(B344,'Commission Rates'!$A:$C,3,FALSE),0)</f>
        <v>0</v>
      </c>
      <c r="F344" s="8" t="str">
        <f>IF(B344="","",D344*E344)</f>
        <v/>
      </c>
      <c r="H344" t="str">
        <f>IF(A344="","",WEEKNUM(A344,1))</f>
        <v/>
      </c>
      <c r="I344" t="str">
        <f>IFERROR(INDEX('Pay Calendar'!$B$2:$B$10,MATCH(H344,'Pay Calendar'!$A$2:$A$10,0)),"")</f>
        <v/>
      </c>
    </row>
    <row r="345" spans="1:9" x14ac:dyDescent="0.2">
      <c r="A345" s="7"/>
      <c r="C345" t="str">
        <f>IFERROR(VLOOKUP(B345,'Commission Rates'!$A:$C,2,FALSE),"")</f>
        <v/>
      </c>
      <c r="E345" s="8">
        <f>IFERROR(VLOOKUP(B345,'Commission Rates'!$A:$C,3,FALSE),0)</f>
        <v>0</v>
      </c>
      <c r="F345" s="8" t="str">
        <f>IF(B345="","",D345*E345)</f>
        <v/>
      </c>
      <c r="H345" t="str">
        <f>IF(A345="","",WEEKNUM(A345,1))</f>
        <v/>
      </c>
      <c r="I345" t="str">
        <f>IFERROR(INDEX('Pay Calendar'!$B$2:$B$10,MATCH(H345,'Pay Calendar'!$A$2:$A$10,0)),"")</f>
        <v/>
      </c>
    </row>
    <row r="346" spans="1:9" x14ac:dyDescent="0.2">
      <c r="A346" s="7"/>
      <c r="C346" t="str">
        <f>IFERROR(VLOOKUP(B346,'Commission Rates'!$A:$C,2,FALSE),"")</f>
        <v/>
      </c>
      <c r="E346" s="8">
        <f>IFERROR(VLOOKUP(B346,'Commission Rates'!$A:$C,3,FALSE),0)</f>
        <v>0</v>
      </c>
      <c r="F346" s="8" t="str">
        <f>IF(B346="","",D346*E346)</f>
        <v/>
      </c>
      <c r="H346" t="str">
        <f>IF(A346="","",WEEKNUM(A346,1))</f>
        <v/>
      </c>
      <c r="I346" t="str">
        <f>IFERROR(INDEX('Pay Calendar'!$B$2:$B$10,MATCH(H346,'Pay Calendar'!$A$2:$A$10,0)),"")</f>
        <v/>
      </c>
    </row>
    <row r="347" spans="1:9" x14ac:dyDescent="0.2">
      <c r="A347" s="7"/>
      <c r="C347" t="str">
        <f>IFERROR(VLOOKUP(B347,'Commission Rates'!$A:$C,2,FALSE),"")</f>
        <v/>
      </c>
      <c r="E347" s="8">
        <f>IFERROR(VLOOKUP(B347,'Commission Rates'!$A:$C,3,FALSE),0)</f>
        <v>0</v>
      </c>
      <c r="F347" s="8" t="str">
        <f>IF(B347="","",D347*E347)</f>
        <v/>
      </c>
      <c r="H347" t="str">
        <f>IF(A347="","",WEEKNUM(A347,1))</f>
        <v/>
      </c>
      <c r="I347" t="str">
        <f>IFERROR(INDEX('Pay Calendar'!$B$2:$B$10,MATCH(H347,'Pay Calendar'!$A$2:$A$10,0)),"")</f>
        <v/>
      </c>
    </row>
    <row r="348" spans="1:9" x14ac:dyDescent="0.2">
      <c r="A348" s="7"/>
      <c r="C348" t="str">
        <f>IFERROR(VLOOKUP(B348,'Commission Rates'!$A:$C,2,FALSE),"")</f>
        <v/>
      </c>
      <c r="E348" s="8">
        <f>IFERROR(VLOOKUP(B348,'Commission Rates'!$A:$C,3,FALSE),0)</f>
        <v>0</v>
      </c>
      <c r="F348" s="8" t="str">
        <f>IF(B348="","",D348*E348)</f>
        <v/>
      </c>
      <c r="H348" t="str">
        <f>IF(A348="","",WEEKNUM(A348,1))</f>
        <v/>
      </c>
      <c r="I348" t="str">
        <f>IFERROR(INDEX('Pay Calendar'!$B$2:$B$10,MATCH(H348,'Pay Calendar'!$A$2:$A$10,0)),"")</f>
        <v/>
      </c>
    </row>
    <row r="349" spans="1:9" x14ac:dyDescent="0.2">
      <c r="A349" s="7"/>
      <c r="C349" t="str">
        <f>IFERROR(VLOOKUP(B349,'Commission Rates'!$A:$C,2,FALSE),"")</f>
        <v/>
      </c>
      <c r="E349" s="8">
        <f>IFERROR(VLOOKUP(B349,'Commission Rates'!$A:$C,3,FALSE),0)</f>
        <v>0</v>
      </c>
      <c r="F349" s="8" t="str">
        <f>IF(B349="","",D349*E349)</f>
        <v/>
      </c>
      <c r="H349" t="str">
        <f>IF(A349="","",WEEKNUM(A349,1))</f>
        <v/>
      </c>
      <c r="I349" t="str">
        <f>IFERROR(INDEX('Pay Calendar'!$B$2:$B$10,MATCH(H349,'Pay Calendar'!$A$2:$A$10,0)),"")</f>
        <v/>
      </c>
    </row>
    <row r="350" spans="1:9" x14ac:dyDescent="0.2">
      <c r="A350" s="7"/>
      <c r="C350" t="str">
        <f>IFERROR(VLOOKUP(B350,'Commission Rates'!$A:$C,2,FALSE),"")</f>
        <v/>
      </c>
      <c r="E350" s="8">
        <f>IFERROR(VLOOKUP(B350,'Commission Rates'!$A:$C,3,FALSE),0)</f>
        <v>0</v>
      </c>
      <c r="F350" s="8" t="str">
        <f>IF(B350="","",D350*E350)</f>
        <v/>
      </c>
      <c r="H350" t="str">
        <f>IF(A350="","",WEEKNUM(A350,1))</f>
        <v/>
      </c>
      <c r="I350" t="str">
        <f>IFERROR(INDEX('Pay Calendar'!$B$2:$B$10,MATCH(H350,'Pay Calendar'!$A$2:$A$10,0)),"")</f>
        <v/>
      </c>
    </row>
    <row r="351" spans="1:9" x14ac:dyDescent="0.2">
      <c r="A351" s="7"/>
      <c r="C351" t="str">
        <f>IFERROR(VLOOKUP(B351,'Commission Rates'!$A:$C,2,FALSE),"")</f>
        <v/>
      </c>
      <c r="E351" s="8">
        <f>IFERROR(VLOOKUP(B351,'Commission Rates'!$A:$C,3,FALSE),0)</f>
        <v>0</v>
      </c>
      <c r="F351" s="8" t="str">
        <f>IF(B351="","",D351*E351)</f>
        <v/>
      </c>
      <c r="H351" t="str">
        <f>IF(A351="","",WEEKNUM(A351,1))</f>
        <v/>
      </c>
      <c r="I351" t="str">
        <f>IFERROR(INDEX('Pay Calendar'!$B$2:$B$10,MATCH(H351,'Pay Calendar'!$A$2:$A$10,0)),"")</f>
        <v/>
      </c>
    </row>
    <row r="352" spans="1:9" x14ac:dyDescent="0.2">
      <c r="A352" s="7"/>
      <c r="C352" t="str">
        <f>IFERROR(VLOOKUP(B352,'Commission Rates'!$A:$C,2,FALSE),"")</f>
        <v/>
      </c>
      <c r="E352" s="8">
        <f>IFERROR(VLOOKUP(B352,'Commission Rates'!$A:$C,3,FALSE),0)</f>
        <v>0</v>
      </c>
      <c r="F352" s="8" t="str">
        <f>IF(B352="","",D352*E352)</f>
        <v/>
      </c>
      <c r="H352" t="str">
        <f>IF(A352="","",WEEKNUM(A352,1))</f>
        <v/>
      </c>
      <c r="I352" t="str">
        <f>IFERROR(INDEX('Pay Calendar'!$B$2:$B$10,MATCH(H352,'Pay Calendar'!$A$2:$A$10,0)),"")</f>
        <v/>
      </c>
    </row>
    <row r="353" spans="1:9" x14ac:dyDescent="0.2">
      <c r="A353" s="7"/>
      <c r="C353" t="str">
        <f>IFERROR(VLOOKUP(B353,'Commission Rates'!$A:$C,2,FALSE),"")</f>
        <v/>
      </c>
      <c r="E353" s="8">
        <f>IFERROR(VLOOKUP(B353,'Commission Rates'!$A:$C,3,FALSE),0)</f>
        <v>0</v>
      </c>
      <c r="F353" s="8" t="str">
        <f>IF(B353="","",D353*E353)</f>
        <v/>
      </c>
      <c r="H353" t="str">
        <f>IF(A353="","",WEEKNUM(A353,1))</f>
        <v/>
      </c>
      <c r="I353" t="str">
        <f>IFERROR(INDEX('Pay Calendar'!$B$2:$B$10,MATCH(H353,'Pay Calendar'!$A$2:$A$10,0)),"")</f>
        <v/>
      </c>
    </row>
    <row r="354" spans="1:9" x14ac:dyDescent="0.2">
      <c r="A354" s="7"/>
      <c r="C354" t="str">
        <f>IFERROR(VLOOKUP(B354,'Commission Rates'!$A:$C,2,FALSE),"")</f>
        <v/>
      </c>
      <c r="E354" s="8">
        <f>IFERROR(VLOOKUP(B354,'Commission Rates'!$A:$C,3,FALSE),0)</f>
        <v>0</v>
      </c>
      <c r="F354" s="8" t="str">
        <f>IF(B354="","",D354*E354)</f>
        <v/>
      </c>
      <c r="H354" t="str">
        <f>IF(A354="","",WEEKNUM(A354,1))</f>
        <v/>
      </c>
      <c r="I354" t="str">
        <f>IFERROR(INDEX('Pay Calendar'!$B$2:$B$10,MATCH(H354,'Pay Calendar'!$A$2:$A$10,0)),"")</f>
        <v/>
      </c>
    </row>
    <row r="355" spans="1:9" x14ac:dyDescent="0.2">
      <c r="A355" s="7"/>
      <c r="C355" t="str">
        <f>IFERROR(VLOOKUP(B355,'Commission Rates'!$A:$C,2,FALSE),"")</f>
        <v/>
      </c>
      <c r="E355" s="8">
        <f>IFERROR(VLOOKUP(B355,'Commission Rates'!$A:$C,3,FALSE),0)</f>
        <v>0</v>
      </c>
      <c r="F355" s="8" t="str">
        <f>IF(B355="","",D355*E355)</f>
        <v/>
      </c>
      <c r="H355" t="str">
        <f>IF(A355="","",WEEKNUM(A355,1))</f>
        <v/>
      </c>
      <c r="I355" t="str">
        <f>IFERROR(INDEX('Pay Calendar'!$B$2:$B$10,MATCH(H355,'Pay Calendar'!$A$2:$A$10,0)),"")</f>
        <v/>
      </c>
    </row>
    <row r="356" spans="1:9" x14ac:dyDescent="0.2">
      <c r="A356" s="7"/>
      <c r="C356" t="str">
        <f>IFERROR(VLOOKUP(B356,'Commission Rates'!$A:$C,2,FALSE),"")</f>
        <v/>
      </c>
      <c r="E356" s="8">
        <f>IFERROR(VLOOKUP(B356,'Commission Rates'!$A:$C,3,FALSE),0)</f>
        <v>0</v>
      </c>
      <c r="F356" s="8" t="str">
        <f>IF(B356="","",D356*E356)</f>
        <v/>
      </c>
      <c r="H356" t="str">
        <f>IF(A356="","",WEEKNUM(A356,1))</f>
        <v/>
      </c>
      <c r="I356" t="str">
        <f>IFERROR(INDEX('Pay Calendar'!$B$2:$B$10,MATCH(H356,'Pay Calendar'!$A$2:$A$10,0)),"")</f>
        <v/>
      </c>
    </row>
    <row r="357" spans="1:9" x14ac:dyDescent="0.2">
      <c r="A357" s="7"/>
      <c r="C357" t="str">
        <f>IFERROR(VLOOKUP(B357,'Commission Rates'!$A:$C,2,FALSE),"")</f>
        <v/>
      </c>
      <c r="E357" s="8">
        <f>IFERROR(VLOOKUP(B357,'Commission Rates'!$A:$C,3,FALSE),0)</f>
        <v>0</v>
      </c>
      <c r="F357" s="8" t="str">
        <f>IF(B357="","",D357*E357)</f>
        <v/>
      </c>
      <c r="H357" t="str">
        <f>IF(A357="","",WEEKNUM(A357,1))</f>
        <v/>
      </c>
      <c r="I357" t="str">
        <f>IFERROR(INDEX('Pay Calendar'!$B$2:$B$10,MATCH(H357,'Pay Calendar'!$A$2:$A$10,0)),"")</f>
        <v/>
      </c>
    </row>
    <row r="358" spans="1:9" x14ac:dyDescent="0.2">
      <c r="A358" s="7"/>
      <c r="C358" t="str">
        <f>IFERROR(VLOOKUP(B358,'Commission Rates'!$A:$C,2,FALSE),"")</f>
        <v/>
      </c>
      <c r="E358" s="8">
        <f>IFERROR(VLOOKUP(B358,'Commission Rates'!$A:$C,3,FALSE),0)</f>
        <v>0</v>
      </c>
      <c r="F358" s="8" t="str">
        <f>IF(B358="","",D358*E358)</f>
        <v/>
      </c>
      <c r="H358" t="str">
        <f>IF(A358="","",WEEKNUM(A358,1))</f>
        <v/>
      </c>
      <c r="I358" t="str">
        <f>IFERROR(INDEX('Pay Calendar'!$B$2:$B$10,MATCH(H358,'Pay Calendar'!$A$2:$A$10,0)),"")</f>
        <v/>
      </c>
    </row>
    <row r="359" spans="1:9" x14ac:dyDescent="0.2">
      <c r="A359" s="7"/>
      <c r="C359" t="str">
        <f>IFERROR(VLOOKUP(B359,'Commission Rates'!$A:$C,2,FALSE),"")</f>
        <v/>
      </c>
      <c r="E359" s="8">
        <f>IFERROR(VLOOKUP(B359,'Commission Rates'!$A:$C,3,FALSE),0)</f>
        <v>0</v>
      </c>
      <c r="F359" s="8" t="str">
        <f>IF(B359="","",D359*E359)</f>
        <v/>
      </c>
      <c r="H359" t="str">
        <f>IF(A359="","",WEEKNUM(A359,1))</f>
        <v/>
      </c>
      <c r="I359" t="str">
        <f>IFERROR(INDEX('Pay Calendar'!$B$2:$B$10,MATCH(H359,'Pay Calendar'!$A$2:$A$10,0)),"")</f>
        <v/>
      </c>
    </row>
    <row r="360" spans="1:9" x14ac:dyDescent="0.2">
      <c r="A360" s="7"/>
      <c r="C360" t="str">
        <f>IFERROR(VLOOKUP(B360,'Commission Rates'!$A:$C,2,FALSE),"")</f>
        <v/>
      </c>
      <c r="E360" s="8">
        <f>IFERROR(VLOOKUP(B360,'Commission Rates'!$A:$C,3,FALSE),0)</f>
        <v>0</v>
      </c>
      <c r="F360" s="8" t="str">
        <f>IF(B360="","",D360*E360)</f>
        <v/>
      </c>
      <c r="H360" t="str">
        <f>IF(A360="","",WEEKNUM(A360,1))</f>
        <v/>
      </c>
      <c r="I360" t="str">
        <f>IFERROR(INDEX('Pay Calendar'!$B$2:$B$10,MATCH(H360,'Pay Calendar'!$A$2:$A$10,0)),"")</f>
        <v/>
      </c>
    </row>
    <row r="361" spans="1:9" x14ac:dyDescent="0.2">
      <c r="A361" s="7"/>
      <c r="C361" t="str">
        <f>IFERROR(VLOOKUP(B361,'Commission Rates'!$A:$C,2,FALSE),"")</f>
        <v/>
      </c>
      <c r="E361" s="8">
        <f>IFERROR(VLOOKUP(B361,'Commission Rates'!$A:$C,3,FALSE),0)</f>
        <v>0</v>
      </c>
      <c r="F361" s="8" t="str">
        <f>IF(B361="","",D361*E361)</f>
        <v/>
      </c>
      <c r="H361" t="str">
        <f>IF(A361="","",WEEKNUM(A361,1))</f>
        <v/>
      </c>
      <c r="I361" t="str">
        <f>IFERROR(INDEX('Pay Calendar'!$B$2:$B$10,MATCH(H361,'Pay Calendar'!$A$2:$A$10,0)),"")</f>
        <v/>
      </c>
    </row>
    <row r="362" spans="1:9" x14ac:dyDescent="0.2">
      <c r="A362" s="7"/>
      <c r="C362" t="str">
        <f>IFERROR(VLOOKUP(B362,'Commission Rates'!$A:$C,2,FALSE),"")</f>
        <v/>
      </c>
      <c r="E362" s="8">
        <f>IFERROR(VLOOKUP(B362,'Commission Rates'!$A:$C,3,FALSE),0)</f>
        <v>0</v>
      </c>
      <c r="F362" s="8" t="str">
        <f>IF(B362="","",D362*E362)</f>
        <v/>
      </c>
      <c r="H362" t="str">
        <f>IF(A362="","",WEEKNUM(A362,1))</f>
        <v/>
      </c>
      <c r="I362" t="str">
        <f>IFERROR(INDEX('Pay Calendar'!$B$2:$B$10,MATCH(H362,'Pay Calendar'!$A$2:$A$10,0)),"")</f>
        <v/>
      </c>
    </row>
    <row r="363" spans="1:9" x14ac:dyDescent="0.2">
      <c r="A363" s="7"/>
      <c r="C363" t="str">
        <f>IFERROR(VLOOKUP(B363,'Commission Rates'!$A:$C,2,FALSE),"")</f>
        <v/>
      </c>
      <c r="E363" s="8">
        <f>IFERROR(VLOOKUP(B363,'Commission Rates'!$A:$C,3,FALSE),0)</f>
        <v>0</v>
      </c>
      <c r="F363" s="8" t="str">
        <f>IF(B363="","",D363*E363)</f>
        <v/>
      </c>
      <c r="H363" t="str">
        <f>IF(A363="","",WEEKNUM(A363,1))</f>
        <v/>
      </c>
      <c r="I363" t="str">
        <f>IFERROR(INDEX('Pay Calendar'!$B$2:$B$10,MATCH(H363,'Pay Calendar'!$A$2:$A$10,0)),"")</f>
        <v/>
      </c>
    </row>
    <row r="364" spans="1:9" x14ac:dyDescent="0.2">
      <c r="A364" s="7"/>
      <c r="C364" t="str">
        <f>IFERROR(VLOOKUP(B364,'Commission Rates'!$A:$C,2,FALSE),"")</f>
        <v/>
      </c>
      <c r="E364" s="8">
        <f>IFERROR(VLOOKUP(B364,'Commission Rates'!$A:$C,3,FALSE),0)</f>
        <v>0</v>
      </c>
      <c r="F364" s="8" t="str">
        <f>IF(B364="","",D364*E364)</f>
        <v/>
      </c>
      <c r="H364" t="str">
        <f>IF(A364="","",WEEKNUM(A364,1))</f>
        <v/>
      </c>
      <c r="I364" t="str">
        <f>IFERROR(INDEX('Pay Calendar'!$B$2:$B$10,MATCH(H364,'Pay Calendar'!$A$2:$A$10,0)),"")</f>
        <v/>
      </c>
    </row>
    <row r="365" spans="1:9" x14ac:dyDescent="0.2">
      <c r="A365" s="7"/>
      <c r="C365" t="str">
        <f>IFERROR(VLOOKUP(B365,'Commission Rates'!$A:$C,2,FALSE),"")</f>
        <v/>
      </c>
      <c r="E365" s="8">
        <f>IFERROR(VLOOKUP(B365,'Commission Rates'!$A:$C,3,FALSE),0)</f>
        <v>0</v>
      </c>
      <c r="F365" s="8" t="str">
        <f>IF(B365="","",D365*E365)</f>
        <v/>
      </c>
      <c r="H365" t="str">
        <f>IF(A365="","",WEEKNUM(A365,1))</f>
        <v/>
      </c>
      <c r="I365" t="str">
        <f>IFERROR(INDEX('Pay Calendar'!$B$2:$B$10,MATCH(H365,'Pay Calendar'!$A$2:$A$10,0)),"")</f>
        <v/>
      </c>
    </row>
    <row r="366" spans="1:9" x14ac:dyDescent="0.2">
      <c r="A366" s="7"/>
      <c r="C366" t="str">
        <f>IFERROR(VLOOKUP(B366,'Commission Rates'!$A:$C,2,FALSE),"")</f>
        <v/>
      </c>
      <c r="E366" s="8">
        <f>IFERROR(VLOOKUP(B366,'Commission Rates'!$A:$C,3,FALSE),0)</f>
        <v>0</v>
      </c>
      <c r="F366" s="8" t="str">
        <f>IF(B366="","",D366*E366)</f>
        <v/>
      </c>
      <c r="H366" t="str">
        <f>IF(A366="","",WEEKNUM(A366,1))</f>
        <v/>
      </c>
      <c r="I366" t="str">
        <f>IFERROR(INDEX('Pay Calendar'!$B$2:$B$10,MATCH(H366,'Pay Calendar'!$A$2:$A$10,0)),"")</f>
        <v/>
      </c>
    </row>
    <row r="367" spans="1:9" x14ac:dyDescent="0.2">
      <c r="A367" s="7"/>
      <c r="C367" t="str">
        <f>IFERROR(VLOOKUP(B367,'Commission Rates'!$A:$C,2,FALSE),"")</f>
        <v/>
      </c>
      <c r="E367" s="8">
        <f>IFERROR(VLOOKUP(B367,'Commission Rates'!$A:$C,3,FALSE),0)</f>
        <v>0</v>
      </c>
      <c r="F367" s="8" t="str">
        <f>IF(B367="","",D367*E367)</f>
        <v/>
      </c>
      <c r="H367" t="str">
        <f>IF(A367="","",WEEKNUM(A367,1))</f>
        <v/>
      </c>
      <c r="I367" t="str">
        <f>IFERROR(INDEX('Pay Calendar'!$B$2:$B$10,MATCH(H367,'Pay Calendar'!$A$2:$A$10,0)),"")</f>
        <v/>
      </c>
    </row>
    <row r="368" spans="1:9" x14ac:dyDescent="0.2">
      <c r="A368" s="7"/>
      <c r="C368" t="str">
        <f>IFERROR(VLOOKUP(B368,'Commission Rates'!$A:$C,2,FALSE),"")</f>
        <v/>
      </c>
      <c r="E368" s="8">
        <f>IFERROR(VLOOKUP(B368,'Commission Rates'!$A:$C,3,FALSE),0)</f>
        <v>0</v>
      </c>
      <c r="F368" s="8" t="str">
        <f>IF(B368="","",D368*E368)</f>
        <v/>
      </c>
      <c r="H368" t="str">
        <f>IF(A368="","",WEEKNUM(A368,1))</f>
        <v/>
      </c>
      <c r="I368" t="str">
        <f>IFERROR(INDEX('Pay Calendar'!$B$2:$B$10,MATCH(H368,'Pay Calendar'!$A$2:$A$10,0)),"")</f>
        <v/>
      </c>
    </row>
    <row r="369" spans="1:9" x14ac:dyDescent="0.2">
      <c r="A369" s="7"/>
      <c r="C369" t="str">
        <f>IFERROR(VLOOKUP(B369,'Commission Rates'!$A:$C,2,FALSE),"")</f>
        <v/>
      </c>
      <c r="E369" s="8">
        <f>IFERROR(VLOOKUP(B369,'Commission Rates'!$A:$C,3,FALSE),0)</f>
        <v>0</v>
      </c>
      <c r="F369" s="8" t="str">
        <f>IF(B369="","",D369*E369)</f>
        <v/>
      </c>
      <c r="H369" t="str">
        <f>IF(A369="","",WEEKNUM(A369,1))</f>
        <v/>
      </c>
      <c r="I369" t="str">
        <f>IFERROR(INDEX('Pay Calendar'!$B$2:$B$10,MATCH(H369,'Pay Calendar'!$A$2:$A$10,0)),"")</f>
        <v/>
      </c>
    </row>
    <row r="370" spans="1:9" x14ac:dyDescent="0.2">
      <c r="A370" s="7"/>
      <c r="C370" t="str">
        <f>IFERROR(VLOOKUP(B370,'Commission Rates'!$A:$C,2,FALSE),"")</f>
        <v/>
      </c>
      <c r="E370" s="8">
        <f>IFERROR(VLOOKUP(B370,'Commission Rates'!$A:$C,3,FALSE),0)</f>
        <v>0</v>
      </c>
      <c r="F370" s="8" t="str">
        <f>IF(B370="","",D370*E370)</f>
        <v/>
      </c>
      <c r="H370" t="str">
        <f>IF(A370="","",WEEKNUM(A370,1))</f>
        <v/>
      </c>
      <c r="I370" t="str">
        <f>IFERROR(INDEX('Pay Calendar'!$B$2:$B$10,MATCH(H370,'Pay Calendar'!$A$2:$A$10,0)),"")</f>
        <v/>
      </c>
    </row>
    <row r="371" spans="1:9" x14ac:dyDescent="0.2">
      <c r="A371" s="7"/>
      <c r="C371" t="str">
        <f>IFERROR(VLOOKUP(B371,'Commission Rates'!$A:$C,2,FALSE),"")</f>
        <v/>
      </c>
      <c r="E371" s="8">
        <f>IFERROR(VLOOKUP(B371,'Commission Rates'!$A:$C,3,FALSE),0)</f>
        <v>0</v>
      </c>
      <c r="F371" s="8" t="str">
        <f>IF(B371="","",D371*E371)</f>
        <v/>
      </c>
      <c r="H371" t="str">
        <f>IF(A371="","",WEEKNUM(A371,1))</f>
        <v/>
      </c>
      <c r="I371" t="str">
        <f>IFERROR(INDEX('Pay Calendar'!$B$2:$B$10,MATCH(H371,'Pay Calendar'!$A$2:$A$10,0)),"")</f>
        <v/>
      </c>
    </row>
    <row r="372" spans="1:9" x14ac:dyDescent="0.2">
      <c r="A372" s="7"/>
      <c r="C372" t="str">
        <f>IFERROR(VLOOKUP(B372,'Commission Rates'!$A:$C,2,FALSE),"")</f>
        <v/>
      </c>
      <c r="E372" s="8">
        <f>IFERROR(VLOOKUP(B372,'Commission Rates'!$A:$C,3,FALSE),0)</f>
        <v>0</v>
      </c>
      <c r="F372" s="8" t="str">
        <f>IF(B372="","",D372*E372)</f>
        <v/>
      </c>
      <c r="H372" t="str">
        <f>IF(A372="","",WEEKNUM(A372,1))</f>
        <v/>
      </c>
      <c r="I372" t="str">
        <f>IFERROR(INDEX('Pay Calendar'!$B$2:$B$10,MATCH(H372,'Pay Calendar'!$A$2:$A$10,0)),"")</f>
        <v/>
      </c>
    </row>
    <row r="373" spans="1:9" x14ac:dyDescent="0.2">
      <c r="A373" s="7"/>
      <c r="C373" t="str">
        <f>IFERROR(VLOOKUP(B373,'Commission Rates'!$A:$C,2,FALSE),"")</f>
        <v/>
      </c>
      <c r="E373" s="8">
        <f>IFERROR(VLOOKUP(B373,'Commission Rates'!$A:$C,3,FALSE),0)</f>
        <v>0</v>
      </c>
      <c r="F373" s="8" t="str">
        <f>IF(B373="","",D373*E373)</f>
        <v/>
      </c>
      <c r="H373" t="str">
        <f>IF(A373="","",WEEKNUM(A373,1))</f>
        <v/>
      </c>
      <c r="I373" t="str">
        <f>IFERROR(INDEX('Pay Calendar'!$B$2:$B$10,MATCH(H373,'Pay Calendar'!$A$2:$A$10,0)),"")</f>
        <v/>
      </c>
    </row>
    <row r="374" spans="1:9" x14ac:dyDescent="0.2">
      <c r="A374" s="7"/>
      <c r="C374" t="str">
        <f>IFERROR(VLOOKUP(B374,'Commission Rates'!$A:$C,2,FALSE),"")</f>
        <v/>
      </c>
      <c r="E374" s="8">
        <f>IFERROR(VLOOKUP(B374,'Commission Rates'!$A:$C,3,FALSE),0)</f>
        <v>0</v>
      </c>
      <c r="F374" s="8" t="str">
        <f>IF(B374="","",D374*E374)</f>
        <v/>
      </c>
      <c r="H374" t="str">
        <f>IF(A374="","",WEEKNUM(A374,1))</f>
        <v/>
      </c>
      <c r="I374" t="str">
        <f>IFERROR(INDEX('Pay Calendar'!$B$2:$B$10,MATCH(H374,'Pay Calendar'!$A$2:$A$10,0)),"")</f>
        <v/>
      </c>
    </row>
    <row r="375" spans="1:9" x14ac:dyDescent="0.2">
      <c r="A375" s="7"/>
      <c r="C375" t="str">
        <f>IFERROR(VLOOKUP(B375,'Commission Rates'!$A:$C,2,FALSE),"")</f>
        <v/>
      </c>
      <c r="E375" s="8">
        <f>IFERROR(VLOOKUP(B375,'Commission Rates'!$A:$C,3,FALSE),0)</f>
        <v>0</v>
      </c>
      <c r="F375" s="8" t="str">
        <f>IF(B375="","",D375*E375)</f>
        <v/>
      </c>
      <c r="H375" t="str">
        <f>IF(A375="","",WEEKNUM(A375,1))</f>
        <v/>
      </c>
      <c r="I375" t="str">
        <f>IFERROR(INDEX('Pay Calendar'!$B$2:$B$10,MATCH(H375,'Pay Calendar'!$A$2:$A$10,0)),"")</f>
        <v/>
      </c>
    </row>
    <row r="376" spans="1:9" x14ac:dyDescent="0.2">
      <c r="A376" s="7"/>
      <c r="C376" t="str">
        <f>IFERROR(VLOOKUP(B376,'Commission Rates'!$A:$C,2,FALSE),"")</f>
        <v/>
      </c>
      <c r="E376" s="8">
        <f>IFERROR(VLOOKUP(B376,'Commission Rates'!$A:$C,3,FALSE),0)</f>
        <v>0</v>
      </c>
      <c r="F376" s="8" t="str">
        <f>IF(B376="","",D376*E376)</f>
        <v/>
      </c>
      <c r="H376" t="str">
        <f>IF(A376="","",WEEKNUM(A376,1))</f>
        <v/>
      </c>
      <c r="I376" t="str">
        <f>IFERROR(INDEX('Pay Calendar'!$B$2:$B$10,MATCH(H376,'Pay Calendar'!$A$2:$A$10,0)),"")</f>
        <v/>
      </c>
    </row>
    <row r="377" spans="1:9" x14ac:dyDescent="0.2">
      <c r="A377" s="7"/>
      <c r="C377" t="str">
        <f>IFERROR(VLOOKUP(B377,'Commission Rates'!$A:$C,2,FALSE),"")</f>
        <v/>
      </c>
      <c r="E377" s="8">
        <f>IFERROR(VLOOKUP(B377,'Commission Rates'!$A:$C,3,FALSE),0)</f>
        <v>0</v>
      </c>
      <c r="F377" s="8" t="str">
        <f>IF(B377="","",D377*E377)</f>
        <v/>
      </c>
      <c r="H377" t="str">
        <f>IF(A377="","",WEEKNUM(A377,1))</f>
        <v/>
      </c>
      <c r="I377" t="str">
        <f>IFERROR(INDEX('Pay Calendar'!$B$2:$B$10,MATCH(H377,'Pay Calendar'!$A$2:$A$10,0)),"")</f>
        <v/>
      </c>
    </row>
    <row r="378" spans="1:9" x14ac:dyDescent="0.2">
      <c r="A378" s="7"/>
      <c r="C378" t="str">
        <f>IFERROR(VLOOKUP(B378,'Commission Rates'!$A:$C,2,FALSE),"")</f>
        <v/>
      </c>
      <c r="E378" s="8">
        <f>IFERROR(VLOOKUP(B378,'Commission Rates'!$A:$C,3,FALSE),0)</f>
        <v>0</v>
      </c>
      <c r="F378" s="8" t="str">
        <f>IF(B378="","",D378*E378)</f>
        <v/>
      </c>
      <c r="H378" t="str">
        <f>IF(A378="","",WEEKNUM(A378,1))</f>
        <v/>
      </c>
      <c r="I378" t="str">
        <f>IFERROR(INDEX('Pay Calendar'!$B$2:$B$10,MATCH(H378,'Pay Calendar'!$A$2:$A$10,0)),"")</f>
        <v/>
      </c>
    </row>
    <row r="379" spans="1:9" x14ac:dyDescent="0.2">
      <c r="A379" s="7"/>
      <c r="C379" t="str">
        <f>IFERROR(VLOOKUP(B379,'Commission Rates'!$A:$C,2,FALSE),"")</f>
        <v/>
      </c>
      <c r="E379" s="8">
        <f>IFERROR(VLOOKUP(B379,'Commission Rates'!$A:$C,3,FALSE),0)</f>
        <v>0</v>
      </c>
      <c r="F379" s="8" t="str">
        <f>IF(B379="","",D379*E379)</f>
        <v/>
      </c>
      <c r="H379" t="str">
        <f>IF(A379="","",WEEKNUM(A379,1))</f>
        <v/>
      </c>
      <c r="I379" t="str">
        <f>IFERROR(INDEX('Pay Calendar'!$B$2:$B$10,MATCH(H379,'Pay Calendar'!$A$2:$A$10,0)),"")</f>
        <v/>
      </c>
    </row>
    <row r="380" spans="1:9" x14ac:dyDescent="0.2">
      <c r="A380" s="7"/>
      <c r="C380" t="str">
        <f>IFERROR(VLOOKUP(B380,'Commission Rates'!$A:$C,2,FALSE),"")</f>
        <v/>
      </c>
      <c r="E380" s="8">
        <f>IFERROR(VLOOKUP(B380,'Commission Rates'!$A:$C,3,FALSE),0)</f>
        <v>0</v>
      </c>
      <c r="F380" s="8" t="str">
        <f>IF(B380="","",D380*E380)</f>
        <v/>
      </c>
      <c r="H380" t="str">
        <f>IF(A380="","",WEEKNUM(A380,1))</f>
        <v/>
      </c>
      <c r="I380" t="str">
        <f>IFERROR(INDEX('Pay Calendar'!$B$2:$B$10,MATCH(H380,'Pay Calendar'!$A$2:$A$10,0)),"")</f>
        <v/>
      </c>
    </row>
    <row r="381" spans="1:9" x14ac:dyDescent="0.2">
      <c r="A381" s="7"/>
      <c r="C381" t="str">
        <f>IFERROR(VLOOKUP(B381,'Commission Rates'!$A:$C,2,FALSE),"")</f>
        <v/>
      </c>
      <c r="E381" s="8">
        <f>IFERROR(VLOOKUP(B381,'Commission Rates'!$A:$C,3,FALSE),0)</f>
        <v>0</v>
      </c>
      <c r="F381" s="8" t="str">
        <f>IF(B381="","",D381*E381)</f>
        <v/>
      </c>
      <c r="H381" t="str">
        <f>IF(A381="","",WEEKNUM(A381,1))</f>
        <v/>
      </c>
      <c r="I381" t="str">
        <f>IFERROR(INDEX('Pay Calendar'!$B$2:$B$10,MATCH(H381,'Pay Calendar'!$A$2:$A$10,0)),"")</f>
        <v/>
      </c>
    </row>
    <row r="382" spans="1:9" x14ac:dyDescent="0.2">
      <c r="A382" s="7"/>
      <c r="C382" t="str">
        <f>IFERROR(VLOOKUP(B382,'Commission Rates'!$A:$C,2,FALSE),"")</f>
        <v/>
      </c>
      <c r="E382" s="8">
        <f>IFERROR(VLOOKUP(B382,'Commission Rates'!$A:$C,3,FALSE),0)</f>
        <v>0</v>
      </c>
      <c r="F382" s="8" t="str">
        <f>IF(B382="","",D382*E382)</f>
        <v/>
      </c>
      <c r="H382" t="str">
        <f>IF(A382="","",WEEKNUM(A382,1))</f>
        <v/>
      </c>
      <c r="I382" t="str">
        <f>IFERROR(INDEX('Pay Calendar'!$B$2:$B$10,MATCH(H382,'Pay Calendar'!$A$2:$A$10,0)),"")</f>
        <v/>
      </c>
    </row>
    <row r="383" spans="1:9" x14ac:dyDescent="0.2">
      <c r="A383" s="7"/>
      <c r="C383" t="str">
        <f>IFERROR(VLOOKUP(B383,'Commission Rates'!$A:$C,2,FALSE),"")</f>
        <v/>
      </c>
      <c r="E383" s="8">
        <f>IFERROR(VLOOKUP(B383,'Commission Rates'!$A:$C,3,FALSE),0)</f>
        <v>0</v>
      </c>
      <c r="F383" s="8" t="str">
        <f>IF(B383="","",D383*E383)</f>
        <v/>
      </c>
      <c r="H383" t="str">
        <f>IF(A383="","",WEEKNUM(A383,1))</f>
        <v/>
      </c>
      <c r="I383" t="str">
        <f>IFERROR(INDEX('Pay Calendar'!$B$2:$B$10,MATCH(H383,'Pay Calendar'!$A$2:$A$10,0)),"")</f>
        <v/>
      </c>
    </row>
    <row r="384" spans="1:9" x14ac:dyDescent="0.2">
      <c r="A384" s="7"/>
      <c r="C384" t="str">
        <f>IFERROR(VLOOKUP(B384,'Commission Rates'!$A:$C,2,FALSE),"")</f>
        <v/>
      </c>
      <c r="E384" s="8">
        <f>IFERROR(VLOOKUP(B384,'Commission Rates'!$A:$C,3,FALSE),0)</f>
        <v>0</v>
      </c>
      <c r="F384" s="8" t="str">
        <f>IF(B384="","",D384*E384)</f>
        <v/>
      </c>
      <c r="H384" t="str">
        <f>IF(A384="","",WEEKNUM(A384,1))</f>
        <v/>
      </c>
      <c r="I384" t="str">
        <f>IFERROR(INDEX('Pay Calendar'!$B$2:$B$10,MATCH(H384,'Pay Calendar'!$A$2:$A$10,0)),"")</f>
        <v/>
      </c>
    </row>
    <row r="385" spans="1:9" x14ac:dyDescent="0.2">
      <c r="A385" s="7"/>
      <c r="C385" t="str">
        <f>IFERROR(VLOOKUP(B385,'Commission Rates'!$A:$C,2,FALSE),"")</f>
        <v/>
      </c>
      <c r="E385" s="8">
        <f>IFERROR(VLOOKUP(B385,'Commission Rates'!$A:$C,3,FALSE),0)</f>
        <v>0</v>
      </c>
      <c r="F385" s="8" t="str">
        <f>IF(B385="","",D385*E385)</f>
        <v/>
      </c>
      <c r="H385" t="str">
        <f>IF(A385="","",WEEKNUM(A385,1))</f>
        <v/>
      </c>
      <c r="I385" t="str">
        <f>IFERROR(INDEX('Pay Calendar'!$B$2:$B$10,MATCH(H385,'Pay Calendar'!$A$2:$A$10,0)),"")</f>
        <v/>
      </c>
    </row>
    <row r="386" spans="1:9" x14ac:dyDescent="0.2">
      <c r="A386" s="7"/>
      <c r="C386" t="str">
        <f>IFERROR(VLOOKUP(B386,'Commission Rates'!$A:$C,2,FALSE),"")</f>
        <v/>
      </c>
      <c r="E386" s="8">
        <f>IFERROR(VLOOKUP(B386,'Commission Rates'!$A:$C,3,FALSE),0)</f>
        <v>0</v>
      </c>
      <c r="F386" s="8" t="str">
        <f>IF(B386="","",D386*E386)</f>
        <v/>
      </c>
      <c r="H386" t="str">
        <f>IF(A386="","",WEEKNUM(A386,1))</f>
        <v/>
      </c>
      <c r="I386" t="str">
        <f>IFERROR(INDEX('Pay Calendar'!$B$2:$B$10,MATCH(H386,'Pay Calendar'!$A$2:$A$10,0)),"")</f>
        <v/>
      </c>
    </row>
    <row r="387" spans="1:9" x14ac:dyDescent="0.2">
      <c r="A387" s="7"/>
      <c r="C387" t="str">
        <f>IFERROR(VLOOKUP(B387,'Commission Rates'!$A:$C,2,FALSE),"")</f>
        <v/>
      </c>
      <c r="E387" s="8">
        <f>IFERROR(VLOOKUP(B387,'Commission Rates'!$A:$C,3,FALSE),0)</f>
        <v>0</v>
      </c>
      <c r="F387" s="8" t="str">
        <f>IF(B387="","",D387*E387)</f>
        <v/>
      </c>
      <c r="H387" t="str">
        <f>IF(A387="","",WEEKNUM(A387,1))</f>
        <v/>
      </c>
      <c r="I387" t="str">
        <f>IFERROR(INDEX('Pay Calendar'!$B$2:$B$10,MATCH(H387,'Pay Calendar'!$A$2:$A$10,0)),"")</f>
        <v/>
      </c>
    </row>
    <row r="388" spans="1:9" x14ac:dyDescent="0.2">
      <c r="A388" s="7"/>
      <c r="C388" t="str">
        <f>IFERROR(VLOOKUP(B388,'Commission Rates'!$A:$C,2,FALSE),"")</f>
        <v/>
      </c>
      <c r="E388" s="8">
        <f>IFERROR(VLOOKUP(B388,'Commission Rates'!$A:$C,3,FALSE),0)</f>
        <v>0</v>
      </c>
      <c r="F388" s="8" t="str">
        <f>IF(B388="","",D388*E388)</f>
        <v/>
      </c>
      <c r="H388" t="str">
        <f>IF(A388="","",WEEKNUM(A388,1))</f>
        <v/>
      </c>
      <c r="I388" t="str">
        <f>IFERROR(INDEX('Pay Calendar'!$B$2:$B$10,MATCH(H388,'Pay Calendar'!$A$2:$A$10,0)),"")</f>
        <v/>
      </c>
    </row>
    <row r="389" spans="1:9" x14ac:dyDescent="0.2">
      <c r="A389" s="7"/>
      <c r="C389" t="str">
        <f>IFERROR(VLOOKUP(B389,'Commission Rates'!$A:$C,2,FALSE),"")</f>
        <v/>
      </c>
      <c r="E389" s="8">
        <f>IFERROR(VLOOKUP(B389,'Commission Rates'!$A:$C,3,FALSE),0)</f>
        <v>0</v>
      </c>
      <c r="F389" s="8" t="str">
        <f>IF(B389="","",D389*E389)</f>
        <v/>
      </c>
      <c r="H389" t="str">
        <f>IF(A389="","",WEEKNUM(A389,1))</f>
        <v/>
      </c>
      <c r="I389" t="str">
        <f>IFERROR(INDEX('Pay Calendar'!$B$2:$B$10,MATCH(H389,'Pay Calendar'!$A$2:$A$10,0)),"")</f>
        <v/>
      </c>
    </row>
    <row r="390" spans="1:9" x14ac:dyDescent="0.2">
      <c r="A390" s="7"/>
      <c r="C390" t="str">
        <f>IFERROR(VLOOKUP(B390,'Commission Rates'!$A:$C,2,FALSE),"")</f>
        <v/>
      </c>
      <c r="E390" s="8">
        <f>IFERROR(VLOOKUP(B390,'Commission Rates'!$A:$C,3,FALSE),0)</f>
        <v>0</v>
      </c>
      <c r="F390" s="8" t="str">
        <f>IF(B390="","",D390*E390)</f>
        <v/>
      </c>
      <c r="H390" t="str">
        <f>IF(A390="","",WEEKNUM(A390,1))</f>
        <v/>
      </c>
      <c r="I390" t="str">
        <f>IFERROR(INDEX('Pay Calendar'!$B$2:$B$10,MATCH(H390,'Pay Calendar'!$A$2:$A$10,0)),"")</f>
        <v/>
      </c>
    </row>
    <row r="391" spans="1:9" x14ac:dyDescent="0.2">
      <c r="A391" s="7"/>
      <c r="C391" t="str">
        <f>IFERROR(VLOOKUP(B391,'Commission Rates'!$A:$C,2,FALSE),"")</f>
        <v/>
      </c>
      <c r="E391" s="8">
        <f>IFERROR(VLOOKUP(B391,'Commission Rates'!$A:$C,3,FALSE),0)</f>
        <v>0</v>
      </c>
      <c r="F391" s="8" t="str">
        <f>IF(B391="","",D391*E391)</f>
        <v/>
      </c>
      <c r="H391" t="str">
        <f>IF(A391="","",WEEKNUM(A391,1))</f>
        <v/>
      </c>
      <c r="I391" t="str">
        <f>IFERROR(INDEX('Pay Calendar'!$B$2:$B$10,MATCH(H391,'Pay Calendar'!$A$2:$A$10,0)),"")</f>
        <v/>
      </c>
    </row>
    <row r="392" spans="1:9" x14ac:dyDescent="0.2">
      <c r="A392" s="7"/>
      <c r="C392" t="str">
        <f>IFERROR(VLOOKUP(B392,'Commission Rates'!$A:$C,2,FALSE),"")</f>
        <v/>
      </c>
      <c r="E392" s="8">
        <f>IFERROR(VLOOKUP(B392,'Commission Rates'!$A:$C,3,FALSE),0)</f>
        <v>0</v>
      </c>
      <c r="F392" s="8" t="str">
        <f>IF(B392="","",D392*E392)</f>
        <v/>
      </c>
      <c r="H392" t="str">
        <f>IF(A392="","",WEEKNUM(A392,1))</f>
        <v/>
      </c>
      <c r="I392" t="str">
        <f>IFERROR(INDEX('Pay Calendar'!$B$2:$B$10,MATCH(H392,'Pay Calendar'!$A$2:$A$10,0)),"")</f>
        <v/>
      </c>
    </row>
    <row r="393" spans="1:9" x14ac:dyDescent="0.2">
      <c r="A393" s="7"/>
      <c r="C393" t="str">
        <f>IFERROR(VLOOKUP(B393,'Commission Rates'!$A:$C,2,FALSE),"")</f>
        <v/>
      </c>
      <c r="E393" s="8">
        <f>IFERROR(VLOOKUP(B393,'Commission Rates'!$A:$C,3,FALSE),0)</f>
        <v>0</v>
      </c>
      <c r="F393" s="8" t="str">
        <f>IF(B393="","",D393*E393)</f>
        <v/>
      </c>
      <c r="H393" t="str">
        <f>IF(A393="","",WEEKNUM(A393,1))</f>
        <v/>
      </c>
      <c r="I393" t="str">
        <f>IFERROR(INDEX('Pay Calendar'!$B$2:$B$10,MATCH(H393,'Pay Calendar'!$A$2:$A$10,0)),"")</f>
        <v/>
      </c>
    </row>
    <row r="394" spans="1:9" x14ac:dyDescent="0.2">
      <c r="A394" s="7"/>
      <c r="C394" t="str">
        <f>IFERROR(VLOOKUP(B394,'Commission Rates'!$A:$C,2,FALSE),"")</f>
        <v/>
      </c>
      <c r="E394" s="8">
        <f>IFERROR(VLOOKUP(B394,'Commission Rates'!$A:$C,3,FALSE),0)</f>
        <v>0</v>
      </c>
      <c r="F394" s="8" t="str">
        <f>IF(B394="","",D394*E394)</f>
        <v/>
      </c>
      <c r="H394" t="str">
        <f>IF(A394="","",WEEKNUM(A394,1))</f>
        <v/>
      </c>
      <c r="I394" t="str">
        <f>IFERROR(INDEX('Pay Calendar'!$B$2:$B$10,MATCH(H394,'Pay Calendar'!$A$2:$A$10,0)),"")</f>
        <v/>
      </c>
    </row>
    <row r="395" spans="1:9" x14ac:dyDescent="0.2">
      <c r="A395" s="7"/>
      <c r="C395" t="str">
        <f>IFERROR(VLOOKUP(B395,'Commission Rates'!$A:$C,2,FALSE),"")</f>
        <v/>
      </c>
      <c r="E395" s="8">
        <f>IFERROR(VLOOKUP(B395,'Commission Rates'!$A:$C,3,FALSE),0)</f>
        <v>0</v>
      </c>
      <c r="F395" s="8" t="str">
        <f>IF(B395="","",D395*E395)</f>
        <v/>
      </c>
      <c r="H395" t="str">
        <f>IF(A395="","",WEEKNUM(A395,1))</f>
        <v/>
      </c>
      <c r="I395" t="str">
        <f>IFERROR(INDEX('Pay Calendar'!$B$2:$B$10,MATCH(H395,'Pay Calendar'!$A$2:$A$10,0)),"")</f>
        <v/>
      </c>
    </row>
    <row r="396" spans="1:9" x14ac:dyDescent="0.2">
      <c r="A396" s="7"/>
      <c r="C396" t="str">
        <f>IFERROR(VLOOKUP(B396,'Commission Rates'!$A:$C,2,FALSE),"")</f>
        <v/>
      </c>
      <c r="E396" s="8">
        <f>IFERROR(VLOOKUP(B396,'Commission Rates'!$A:$C,3,FALSE),0)</f>
        <v>0</v>
      </c>
      <c r="F396" s="8" t="str">
        <f>IF(B396="","",D396*E396)</f>
        <v/>
      </c>
      <c r="H396" t="str">
        <f>IF(A396="","",WEEKNUM(A396,1))</f>
        <v/>
      </c>
      <c r="I396" t="str">
        <f>IFERROR(INDEX('Pay Calendar'!$B$2:$B$10,MATCH(H396,'Pay Calendar'!$A$2:$A$10,0)),"")</f>
        <v/>
      </c>
    </row>
    <row r="397" spans="1:9" x14ac:dyDescent="0.2">
      <c r="A397" s="7"/>
      <c r="C397" t="str">
        <f>IFERROR(VLOOKUP(B397,'Commission Rates'!$A:$C,2,FALSE),"")</f>
        <v/>
      </c>
      <c r="E397" s="8">
        <f>IFERROR(VLOOKUP(B397,'Commission Rates'!$A:$C,3,FALSE),0)</f>
        <v>0</v>
      </c>
      <c r="F397" s="8" t="str">
        <f>IF(B397="","",D397*E397)</f>
        <v/>
      </c>
      <c r="H397" t="str">
        <f>IF(A397="","",WEEKNUM(A397,1))</f>
        <v/>
      </c>
      <c r="I397" t="str">
        <f>IFERROR(INDEX('Pay Calendar'!$B$2:$B$10,MATCH(H397,'Pay Calendar'!$A$2:$A$10,0)),"")</f>
        <v/>
      </c>
    </row>
    <row r="398" spans="1:9" x14ac:dyDescent="0.2">
      <c r="A398" s="7"/>
      <c r="C398" t="str">
        <f>IFERROR(VLOOKUP(B398,'Commission Rates'!$A:$C,2,FALSE),"")</f>
        <v/>
      </c>
      <c r="E398" s="8">
        <f>IFERROR(VLOOKUP(B398,'Commission Rates'!$A:$C,3,FALSE),0)</f>
        <v>0</v>
      </c>
      <c r="F398" s="8" t="str">
        <f>IF(B398="","",D398*E398)</f>
        <v/>
      </c>
      <c r="H398" t="str">
        <f>IF(A398="","",WEEKNUM(A398,1))</f>
        <v/>
      </c>
      <c r="I398" t="str">
        <f>IFERROR(INDEX('Pay Calendar'!$B$2:$B$10,MATCH(H398,'Pay Calendar'!$A$2:$A$10,0)),"")</f>
        <v/>
      </c>
    </row>
    <row r="399" spans="1:9" x14ac:dyDescent="0.2">
      <c r="A399" s="7"/>
      <c r="C399" t="str">
        <f>IFERROR(VLOOKUP(B399,'Commission Rates'!$A:$C,2,FALSE),"")</f>
        <v/>
      </c>
      <c r="E399" s="8">
        <f>IFERROR(VLOOKUP(B399,'Commission Rates'!$A:$C,3,FALSE),0)</f>
        <v>0</v>
      </c>
      <c r="F399" s="8" t="str">
        <f>IF(B399="","",D399*E399)</f>
        <v/>
      </c>
      <c r="H399" t="str">
        <f>IF(A399="","",WEEKNUM(A399,1))</f>
        <v/>
      </c>
      <c r="I399" t="str">
        <f>IFERROR(INDEX('Pay Calendar'!$B$2:$B$10,MATCH(H399,'Pay Calendar'!$A$2:$A$10,0)),"")</f>
        <v/>
      </c>
    </row>
    <row r="400" spans="1:9" x14ac:dyDescent="0.2">
      <c r="A400" s="7"/>
      <c r="C400" t="str">
        <f>IFERROR(VLOOKUP(B400,'Commission Rates'!$A:$C,2,FALSE),"")</f>
        <v/>
      </c>
      <c r="E400" s="8">
        <f>IFERROR(VLOOKUP(B400,'Commission Rates'!$A:$C,3,FALSE),0)</f>
        <v>0</v>
      </c>
      <c r="F400" s="8" t="str">
        <f>IF(B400="","",D400*E400)</f>
        <v/>
      </c>
      <c r="H400" t="str">
        <f>IF(A400="","",WEEKNUM(A400,1))</f>
        <v/>
      </c>
      <c r="I400" t="str">
        <f>IFERROR(INDEX('Pay Calendar'!$B$2:$B$10,MATCH(H400,'Pay Calendar'!$A$2:$A$10,0)),"")</f>
        <v/>
      </c>
    </row>
    <row r="401" spans="1:9" x14ac:dyDescent="0.2">
      <c r="A401" s="7"/>
      <c r="C401" t="str">
        <f>IFERROR(VLOOKUP(B401,'Commission Rates'!$A:$C,2,FALSE),"")</f>
        <v/>
      </c>
      <c r="E401" s="8">
        <f>IFERROR(VLOOKUP(B401,'Commission Rates'!$A:$C,3,FALSE),0)</f>
        <v>0</v>
      </c>
      <c r="F401" s="8" t="str">
        <f>IF(B401="","",D401*E401)</f>
        <v/>
      </c>
      <c r="H401" t="str">
        <f>IF(A401="","",WEEKNUM(A401,1))</f>
        <v/>
      </c>
      <c r="I401" t="str">
        <f>IFERROR(INDEX('Pay Calendar'!$B$2:$B$10,MATCH(H401,'Pay Calendar'!$A$2:$A$10,0)),"")</f>
        <v/>
      </c>
    </row>
    <row r="402" spans="1:9" x14ac:dyDescent="0.2">
      <c r="A402" s="7"/>
      <c r="C402" t="str">
        <f>IFERROR(VLOOKUP(B402,'Commission Rates'!$A:$C,2,FALSE),"")</f>
        <v/>
      </c>
      <c r="E402" s="8">
        <f>IFERROR(VLOOKUP(B402,'Commission Rates'!$A:$C,3,FALSE),0)</f>
        <v>0</v>
      </c>
      <c r="F402" s="8" t="str">
        <f>IF(B402="","",D402*E402)</f>
        <v/>
      </c>
      <c r="H402" t="str">
        <f>IF(A402="","",WEEKNUM(A402,1))</f>
        <v/>
      </c>
      <c r="I402" t="str">
        <f>IFERROR(INDEX('Pay Calendar'!$B$2:$B$10,MATCH(H402,'Pay Calendar'!$A$2:$A$10,0)),"")</f>
        <v/>
      </c>
    </row>
    <row r="403" spans="1:9" x14ac:dyDescent="0.2">
      <c r="A403" s="7"/>
      <c r="C403" t="str">
        <f>IFERROR(VLOOKUP(B403,'Commission Rates'!$A:$C,2,FALSE),"")</f>
        <v/>
      </c>
      <c r="E403" s="8">
        <f>IFERROR(VLOOKUP(B403,'Commission Rates'!$A:$C,3,FALSE),0)</f>
        <v>0</v>
      </c>
      <c r="F403" s="8" t="str">
        <f>IF(B403="","",D403*E403)</f>
        <v/>
      </c>
      <c r="H403" t="str">
        <f>IF(A403="","",WEEKNUM(A403,1))</f>
        <v/>
      </c>
      <c r="I403" t="str">
        <f>IFERROR(INDEX('Pay Calendar'!$B$2:$B$10,MATCH(H403,'Pay Calendar'!$A$2:$A$10,0)),"")</f>
        <v/>
      </c>
    </row>
    <row r="404" spans="1:9" x14ac:dyDescent="0.2">
      <c r="A404" s="7"/>
      <c r="C404" t="str">
        <f>IFERROR(VLOOKUP(B404,'Commission Rates'!$A:$C,2,FALSE),"")</f>
        <v/>
      </c>
      <c r="E404" s="8">
        <f>IFERROR(VLOOKUP(B404,'Commission Rates'!$A:$C,3,FALSE),0)</f>
        <v>0</v>
      </c>
      <c r="F404" s="8" t="str">
        <f>IF(B404="","",D404*E404)</f>
        <v/>
      </c>
      <c r="H404" t="str">
        <f>IF(A404="","",WEEKNUM(A404,1))</f>
        <v/>
      </c>
      <c r="I404" t="str">
        <f>IFERROR(INDEX('Pay Calendar'!$B$2:$B$10,MATCH(H404,'Pay Calendar'!$A$2:$A$10,0)),"")</f>
        <v/>
      </c>
    </row>
    <row r="405" spans="1:9" x14ac:dyDescent="0.2">
      <c r="A405" s="7"/>
      <c r="C405" t="str">
        <f>IFERROR(VLOOKUP(B405,'Commission Rates'!$A:$C,2,FALSE),"")</f>
        <v/>
      </c>
      <c r="E405" s="8">
        <f>IFERROR(VLOOKUP(B405,'Commission Rates'!$A:$C,3,FALSE),0)</f>
        <v>0</v>
      </c>
      <c r="F405" s="8" t="str">
        <f>IF(B405="","",D405*E405)</f>
        <v/>
      </c>
      <c r="H405" t="str">
        <f>IF(A405="","",WEEKNUM(A405,1))</f>
        <v/>
      </c>
      <c r="I405" t="str">
        <f>IFERROR(INDEX('Pay Calendar'!$B$2:$B$10,MATCH(H405,'Pay Calendar'!$A$2:$A$10,0)),"")</f>
        <v/>
      </c>
    </row>
    <row r="406" spans="1:9" x14ac:dyDescent="0.2">
      <c r="A406" s="7"/>
      <c r="C406" t="str">
        <f>IFERROR(VLOOKUP(B406,'Commission Rates'!$A:$C,2,FALSE),"")</f>
        <v/>
      </c>
      <c r="E406" s="8">
        <f>IFERROR(VLOOKUP(B406,'Commission Rates'!$A:$C,3,FALSE),0)</f>
        <v>0</v>
      </c>
      <c r="F406" s="8" t="str">
        <f>IF(B406="","",D406*E406)</f>
        <v/>
      </c>
      <c r="H406" t="str">
        <f>IF(A406="","",WEEKNUM(A406,1))</f>
        <v/>
      </c>
      <c r="I406" t="str">
        <f>IFERROR(INDEX('Pay Calendar'!$B$2:$B$10,MATCH(H406,'Pay Calendar'!$A$2:$A$10,0)),"")</f>
        <v/>
      </c>
    </row>
    <row r="407" spans="1:9" x14ac:dyDescent="0.2">
      <c r="A407" s="7"/>
      <c r="C407" t="str">
        <f>IFERROR(VLOOKUP(B407,'Commission Rates'!$A:$C,2,FALSE),"")</f>
        <v/>
      </c>
      <c r="E407" s="8">
        <f>IFERROR(VLOOKUP(B407,'Commission Rates'!$A:$C,3,FALSE),0)</f>
        <v>0</v>
      </c>
      <c r="F407" s="8" t="str">
        <f>IF(B407="","",D407*E407)</f>
        <v/>
      </c>
      <c r="H407" t="str">
        <f>IF(A407="","",WEEKNUM(A407,1))</f>
        <v/>
      </c>
      <c r="I407" t="str">
        <f>IFERROR(INDEX('Pay Calendar'!$B$2:$B$10,MATCH(H407,'Pay Calendar'!$A$2:$A$10,0)),"")</f>
        <v/>
      </c>
    </row>
    <row r="408" spans="1:9" x14ac:dyDescent="0.2">
      <c r="A408" s="7"/>
      <c r="C408" t="str">
        <f>IFERROR(VLOOKUP(B408,'Commission Rates'!$A:$C,2,FALSE),"")</f>
        <v/>
      </c>
      <c r="E408" s="8">
        <f>IFERROR(VLOOKUP(B408,'Commission Rates'!$A:$C,3,FALSE),0)</f>
        <v>0</v>
      </c>
      <c r="F408" s="8" t="str">
        <f>IF(B408="","",D408*E408)</f>
        <v/>
      </c>
      <c r="H408" t="str">
        <f>IF(A408="","",WEEKNUM(A408,1))</f>
        <v/>
      </c>
      <c r="I408" t="str">
        <f>IFERROR(INDEX('Pay Calendar'!$B$2:$B$10,MATCH(H408,'Pay Calendar'!$A$2:$A$10,0)),"")</f>
        <v/>
      </c>
    </row>
    <row r="409" spans="1:9" x14ac:dyDescent="0.2">
      <c r="A409" s="7"/>
      <c r="C409" t="str">
        <f>IFERROR(VLOOKUP(B409,'Commission Rates'!$A:$C,2,FALSE),"")</f>
        <v/>
      </c>
      <c r="E409" s="8">
        <f>IFERROR(VLOOKUP(B409,'Commission Rates'!$A:$C,3,FALSE),0)</f>
        <v>0</v>
      </c>
      <c r="F409" s="8" t="str">
        <f>IF(B409="","",D409*E409)</f>
        <v/>
      </c>
      <c r="H409" t="str">
        <f>IF(A409="","",WEEKNUM(A409,1))</f>
        <v/>
      </c>
      <c r="I409" t="str">
        <f>IFERROR(INDEX('Pay Calendar'!$B$2:$B$10,MATCH(H409,'Pay Calendar'!$A$2:$A$10,0)),"")</f>
        <v/>
      </c>
    </row>
    <row r="410" spans="1:9" x14ac:dyDescent="0.2">
      <c r="A410" s="7"/>
      <c r="C410" t="str">
        <f>IFERROR(VLOOKUP(B410,'Commission Rates'!$A:$C,2,FALSE),"")</f>
        <v/>
      </c>
      <c r="E410" s="8">
        <f>IFERROR(VLOOKUP(B410,'Commission Rates'!$A:$C,3,FALSE),0)</f>
        <v>0</v>
      </c>
      <c r="F410" s="8" t="str">
        <f>IF(B410="","",D410*E410)</f>
        <v/>
      </c>
      <c r="H410" t="str">
        <f>IF(A410="","",WEEKNUM(A410,1))</f>
        <v/>
      </c>
      <c r="I410" t="str">
        <f>IFERROR(INDEX('Pay Calendar'!$B$2:$B$10,MATCH(H410,'Pay Calendar'!$A$2:$A$10,0)),"")</f>
        <v/>
      </c>
    </row>
    <row r="411" spans="1:9" x14ac:dyDescent="0.2">
      <c r="A411" s="7"/>
      <c r="C411" t="str">
        <f>IFERROR(VLOOKUP(B411,'Commission Rates'!$A:$C,2,FALSE),"")</f>
        <v/>
      </c>
      <c r="E411" s="8">
        <f>IFERROR(VLOOKUP(B411,'Commission Rates'!$A:$C,3,FALSE),0)</f>
        <v>0</v>
      </c>
      <c r="F411" s="8" t="str">
        <f>IF(B411="","",D411*E411)</f>
        <v/>
      </c>
      <c r="H411" t="str">
        <f>IF(A411="","",WEEKNUM(A411,1))</f>
        <v/>
      </c>
      <c r="I411" t="str">
        <f>IFERROR(INDEX('Pay Calendar'!$B$2:$B$10,MATCH(H411,'Pay Calendar'!$A$2:$A$10,0)),"")</f>
        <v/>
      </c>
    </row>
    <row r="412" spans="1:9" x14ac:dyDescent="0.2">
      <c r="A412" s="7"/>
      <c r="C412" t="str">
        <f>IFERROR(VLOOKUP(B412,'Commission Rates'!$A:$C,2,FALSE),"")</f>
        <v/>
      </c>
      <c r="E412" s="8">
        <f>IFERROR(VLOOKUP(B412,'Commission Rates'!$A:$C,3,FALSE),0)</f>
        <v>0</v>
      </c>
      <c r="F412" s="8" t="str">
        <f>IF(B412="","",D412*E412)</f>
        <v/>
      </c>
      <c r="H412" t="str">
        <f>IF(A412="","",WEEKNUM(A412,1))</f>
        <v/>
      </c>
      <c r="I412" t="str">
        <f>IFERROR(INDEX('Pay Calendar'!$B$2:$B$10,MATCH(H412,'Pay Calendar'!$A$2:$A$10,0)),"")</f>
        <v/>
      </c>
    </row>
    <row r="413" spans="1:9" x14ac:dyDescent="0.2">
      <c r="A413" s="7"/>
      <c r="C413" t="str">
        <f>IFERROR(VLOOKUP(B413,'Commission Rates'!$A:$C,2,FALSE),"")</f>
        <v/>
      </c>
      <c r="E413" s="8">
        <f>IFERROR(VLOOKUP(B413,'Commission Rates'!$A:$C,3,FALSE),0)</f>
        <v>0</v>
      </c>
      <c r="F413" s="8" t="str">
        <f>IF(B413="","",D413*E413)</f>
        <v/>
      </c>
      <c r="H413" t="str">
        <f>IF(A413="","",WEEKNUM(A413,1))</f>
        <v/>
      </c>
      <c r="I413" t="str">
        <f>IFERROR(INDEX('Pay Calendar'!$B$2:$B$10,MATCH(H413,'Pay Calendar'!$A$2:$A$10,0)),"")</f>
        <v/>
      </c>
    </row>
    <row r="414" spans="1:9" x14ac:dyDescent="0.2">
      <c r="A414" s="7"/>
      <c r="C414" t="str">
        <f>IFERROR(VLOOKUP(B414,'Commission Rates'!$A:$C,2,FALSE),"")</f>
        <v/>
      </c>
      <c r="E414" s="8">
        <f>IFERROR(VLOOKUP(B414,'Commission Rates'!$A:$C,3,FALSE),0)</f>
        <v>0</v>
      </c>
      <c r="F414" s="8" t="str">
        <f>IF(B414="","",D414*E414)</f>
        <v/>
      </c>
      <c r="H414" t="str">
        <f>IF(A414="","",WEEKNUM(A414,1))</f>
        <v/>
      </c>
      <c r="I414" t="str">
        <f>IFERROR(INDEX('Pay Calendar'!$B$2:$B$10,MATCH(H414,'Pay Calendar'!$A$2:$A$10,0)),"")</f>
        <v/>
      </c>
    </row>
    <row r="415" spans="1:9" x14ac:dyDescent="0.2">
      <c r="A415" s="7"/>
      <c r="C415" t="str">
        <f>IFERROR(VLOOKUP(B415,'Commission Rates'!$A:$C,2,FALSE),"")</f>
        <v/>
      </c>
      <c r="E415" s="8">
        <f>IFERROR(VLOOKUP(B415,'Commission Rates'!$A:$C,3,FALSE),0)</f>
        <v>0</v>
      </c>
      <c r="F415" s="8" t="str">
        <f>IF(B415="","",D415*E415)</f>
        <v/>
      </c>
      <c r="H415" t="str">
        <f>IF(A415="","",WEEKNUM(A415,1))</f>
        <v/>
      </c>
      <c r="I415" t="str">
        <f>IFERROR(INDEX('Pay Calendar'!$B$2:$B$10,MATCH(H415,'Pay Calendar'!$A$2:$A$10,0)),"")</f>
        <v/>
      </c>
    </row>
    <row r="416" spans="1:9" x14ac:dyDescent="0.2">
      <c r="A416" s="7"/>
      <c r="C416" t="str">
        <f>IFERROR(VLOOKUP(B416,'Commission Rates'!$A:$C,2,FALSE),"")</f>
        <v/>
      </c>
      <c r="E416" s="8">
        <f>IFERROR(VLOOKUP(B416,'Commission Rates'!$A:$C,3,FALSE),0)</f>
        <v>0</v>
      </c>
      <c r="F416" s="8" t="str">
        <f>IF(B416="","",D416*E416)</f>
        <v/>
      </c>
      <c r="H416" t="str">
        <f>IF(A416="","",WEEKNUM(A416,1))</f>
        <v/>
      </c>
      <c r="I416" t="str">
        <f>IFERROR(INDEX('Pay Calendar'!$B$2:$B$10,MATCH(H416,'Pay Calendar'!$A$2:$A$10,0)),"")</f>
        <v/>
      </c>
    </row>
    <row r="417" spans="1:9" x14ac:dyDescent="0.2">
      <c r="A417" s="7"/>
      <c r="C417" t="str">
        <f>IFERROR(VLOOKUP(B417,'Commission Rates'!$A:$C,2,FALSE),"")</f>
        <v/>
      </c>
      <c r="E417" s="8">
        <f>IFERROR(VLOOKUP(B417,'Commission Rates'!$A:$C,3,FALSE),0)</f>
        <v>0</v>
      </c>
      <c r="F417" s="8" t="str">
        <f>IF(B417="","",D417*E417)</f>
        <v/>
      </c>
      <c r="H417" t="str">
        <f>IF(A417="","",WEEKNUM(A417,1))</f>
        <v/>
      </c>
      <c r="I417" t="str">
        <f>IFERROR(INDEX('Pay Calendar'!$B$2:$B$10,MATCH(H417,'Pay Calendar'!$A$2:$A$10,0)),"")</f>
        <v/>
      </c>
    </row>
    <row r="418" spans="1:9" x14ac:dyDescent="0.2">
      <c r="A418" s="7"/>
      <c r="C418" t="str">
        <f>IFERROR(VLOOKUP(B418,'Commission Rates'!$A:$C,2,FALSE),"")</f>
        <v/>
      </c>
      <c r="E418" s="8">
        <f>IFERROR(VLOOKUP(B418,'Commission Rates'!$A:$C,3,FALSE),0)</f>
        <v>0</v>
      </c>
      <c r="F418" s="8" t="str">
        <f>IF(B418="","",D418*E418)</f>
        <v/>
      </c>
      <c r="H418" t="str">
        <f>IF(A418="","",WEEKNUM(A418,1))</f>
        <v/>
      </c>
      <c r="I418" t="str">
        <f>IFERROR(INDEX('Pay Calendar'!$B$2:$B$10,MATCH(H418,'Pay Calendar'!$A$2:$A$10,0)),"")</f>
        <v/>
      </c>
    </row>
    <row r="419" spans="1:9" x14ac:dyDescent="0.2">
      <c r="A419" s="7"/>
      <c r="C419" t="str">
        <f>IFERROR(VLOOKUP(B419,'Commission Rates'!$A:$C,2,FALSE),"")</f>
        <v/>
      </c>
      <c r="E419" s="8">
        <f>IFERROR(VLOOKUP(B419,'Commission Rates'!$A:$C,3,FALSE),0)</f>
        <v>0</v>
      </c>
      <c r="F419" s="8" t="str">
        <f>IF(B419="","",D419*E419)</f>
        <v/>
      </c>
      <c r="H419" t="str">
        <f>IF(A419="","",WEEKNUM(A419,1))</f>
        <v/>
      </c>
      <c r="I419" t="str">
        <f>IFERROR(INDEX('Pay Calendar'!$B$2:$B$10,MATCH(H419,'Pay Calendar'!$A$2:$A$10,0)),"")</f>
        <v/>
      </c>
    </row>
    <row r="420" spans="1:9" x14ac:dyDescent="0.2">
      <c r="A420" s="7"/>
      <c r="C420" t="str">
        <f>IFERROR(VLOOKUP(B420,'Commission Rates'!$A:$C,2,FALSE),"")</f>
        <v/>
      </c>
      <c r="E420" s="8">
        <f>IFERROR(VLOOKUP(B420,'Commission Rates'!$A:$C,3,FALSE),0)</f>
        <v>0</v>
      </c>
      <c r="F420" s="8" t="str">
        <f>IF(B420="","",D420*E420)</f>
        <v/>
      </c>
      <c r="H420" t="str">
        <f>IF(A420="","",WEEKNUM(A420,1))</f>
        <v/>
      </c>
      <c r="I420" t="str">
        <f>IFERROR(INDEX('Pay Calendar'!$B$2:$B$10,MATCH(H420,'Pay Calendar'!$A$2:$A$10,0)),"")</f>
        <v/>
      </c>
    </row>
    <row r="421" spans="1:9" x14ac:dyDescent="0.2">
      <c r="A421" s="7"/>
      <c r="C421" t="str">
        <f>IFERROR(VLOOKUP(B421,'Commission Rates'!$A:$C,2,FALSE),"")</f>
        <v/>
      </c>
      <c r="E421" s="8">
        <f>IFERROR(VLOOKUP(B421,'Commission Rates'!$A:$C,3,FALSE),0)</f>
        <v>0</v>
      </c>
      <c r="F421" s="8" t="str">
        <f>IF(B421="","",D421*E421)</f>
        <v/>
      </c>
      <c r="H421" t="str">
        <f>IF(A421="","",WEEKNUM(A421,1))</f>
        <v/>
      </c>
      <c r="I421" t="str">
        <f>IFERROR(INDEX('Pay Calendar'!$B$2:$B$10,MATCH(H421,'Pay Calendar'!$A$2:$A$10,0)),"")</f>
        <v/>
      </c>
    </row>
    <row r="422" spans="1:9" x14ac:dyDescent="0.2">
      <c r="A422" s="7"/>
      <c r="C422" t="str">
        <f>IFERROR(VLOOKUP(B422,'Commission Rates'!$A:$C,2,FALSE),"")</f>
        <v/>
      </c>
      <c r="E422" s="8">
        <f>IFERROR(VLOOKUP(B422,'Commission Rates'!$A:$C,3,FALSE),0)</f>
        <v>0</v>
      </c>
      <c r="F422" s="8" t="str">
        <f>IF(B422="","",D422*E422)</f>
        <v/>
      </c>
      <c r="H422" t="str">
        <f>IF(A422="","",WEEKNUM(A422,1))</f>
        <v/>
      </c>
      <c r="I422" t="str">
        <f>IFERROR(INDEX('Pay Calendar'!$B$2:$B$10,MATCH(H422,'Pay Calendar'!$A$2:$A$10,0)),"")</f>
        <v/>
      </c>
    </row>
    <row r="423" spans="1:9" x14ac:dyDescent="0.2">
      <c r="A423" s="7"/>
      <c r="C423" t="str">
        <f>IFERROR(VLOOKUP(B423,'Commission Rates'!$A:$C,2,FALSE),"")</f>
        <v/>
      </c>
      <c r="E423" s="8">
        <f>IFERROR(VLOOKUP(B423,'Commission Rates'!$A:$C,3,FALSE),0)</f>
        <v>0</v>
      </c>
      <c r="F423" s="8" t="str">
        <f>IF(B423="","",D423*E423)</f>
        <v/>
      </c>
      <c r="H423" t="str">
        <f>IF(A423="","",WEEKNUM(A423,1))</f>
        <v/>
      </c>
      <c r="I423" t="str">
        <f>IFERROR(INDEX('Pay Calendar'!$B$2:$B$10,MATCH(H423,'Pay Calendar'!$A$2:$A$10,0)),"")</f>
        <v/>
      </c>
    </row>
    <row r="424" spans="1:9" x14ac:dyDescent="0.2">
      <c r="A424" s="7"/>
      <c r="C424" t="str">
        <f>IFERROR(VLOOKUP(B424,'Commission Rates'!$A:$C,2,FALSE),"")</f>
        <v/>
      </c>
      <c r="E424" s="8">
        <f>IFERROR(VLOOKUP(B424,'Commission Rates'!$A:$C,3,FALSE),0)</f>
        <v>0</v>
      </c>
      <c r="F424" s="8" t="str">
        <f>IF(B424="","",D424*E424)</f>
        <v/>
      </c>
      <c r="H424" t="str">
        <f>IF(A424="","",WEEKNUM(A424,1))</f>
        <v/>
      </c>
      <c r="I424" t="str">
        <f>IFERROR(INDEX('Pay Calendar'!$B$2:$B$10,MATCH(H424,'Pay Calendar'!$A$2:$A$10,0)),"")</f>
        <v/>
      </c>
    </row>
    <row r="425" spans="1:9" x14ac:dyDescent="0.2">
      <c r="A425" s="7"/>
      <c r="C425" t="str">
        <f>IFERROR(VLOOKUP(B425,'Commission Rates'!$A:$C,2,FALSE),"")</f>
        <v/>
      </c>
      <c r="E425" s="8">
        <f>IFERROR(VLOOKUP(B425,'Commission Rates'!$A:$C,3,FALSE),0)</f>
        <v>0</v>
      </c>
      <c r="F425" s="8" t="str">
        <f>IF(B425="","",D425*E425)</f>
        <v/>
      </c>
      <c r="H425" t="str">
        <f>IF(A425="","",WEEKNUM(A425,1))</f>
        <v/>
      </c>
      <c r="I425" t="str">
        <f>IFERROR(INDEX('Pay Calendar'!$B$2:$B$10,MATCH(H425,'Pay Calendar'!$A$2:$A$10,0)),"")</f>
        <v/>
      </c>
    </row>
    <row r="426" spans="1:9" x14ac:dyDescent="0.2">
      <c r="A426" s="7"/>
      <c r="C426" t="str">
        <f>IFERROR(VLOOKUP(B426,'Commission Rates'!$A:$C,2,FALSE),"")</f>
        <v/>
      </c>
      <c r="E426" s="8">
        <f>IFERROR(VLOOKUP(B426,'Commission Rates'!$A:$C,3,FALSE),0)</f>
        <v>0</v>
      </c>
      <c r="F426" s="8" t="str">
        <f>IF(B426="","",D426*E426)</f>
        <v/>
      </c>
      <c r="H426" t="str">
        <f>IF(A426="","",WEEKNUM(A426,1))</f>
        <v/>
      </c>
      <c r="I426" t="str">
        <f>IFERROR(INDEX('Pay Calendar'!$B$2:$B$10,MATCH(H426,'Pay Calendar'!$A$2:$A$10,0)),"")</f>
        <v/>
      </c>
    </row>
    <row r="427" spans="1:9" x14ac:dyDescent="0.2">
      <c r="A427" s="7"/>
      <c r="C427" t="str">
        <f>IFERROR(VLOOKUP(B427,'Commission Rates'!$A:$C,2,FALSE),"")</f>
        <v/>
      </c>
      <c r="E427" s="8">
        <f>IFERROR(VLOOKUP(B427,'Commission Rates'!$A:$C,3,FALSE),0)</f>
        <v>0</v>
      </c>
      <c r="F427" s="8" t="str">
        <f>IF(B427="","",D427*E427)</f>
        <v/>
      </c>
      <c r="H427" t="str">
        <f>IF(A427="","",WEEKNUM(A427,1))</f>
        <v/>
      </c>
      <c r="I427" t="str">
        <f>IFERROR(INDEX('Pay Calendar'!$B$2:$B$10,MATCH(H427,'Pay Calendar'!$A$2:$A$10,0)),"")</f>
        <v/>
      </c>
    </row>
    <row r="428" spans="1:9" x14ac:dyDescent="0.2">
      <c r="A428" s="7"/>
      <c r="C428" t="str">
        <f>IFERROR(VLOOKUP(B428,'Commission Rates'!$A:$C,2,FALSE),"")</f>
        <v/>
      </c>
      <c r="E428" s="8">
        <f>IFERROR(VLOOKUP(B428,'Commission Rates'!$A:$C,3,FALSE),0)</f>
        <v>0</v>
      </c>
      <c r="F428" s="8" t="str">
        <f>IF(B428="","",D428*E428)</f>
        <v/>
      </c>
      <c r="H428" t="str">
        <f>IF(A428="","",WEEKNUM(A428,1))</f>
        <v/>
      </c>
      <c r="I428" t="str">
        <f>IFERROR(INDEX('Pay Calendar'!$B$2:$B$10,MATCH(H428,'Pay Calendar'!$A$2:$A$10,0)),"")</f>
        <v/>
      </c>
    </row>
    <row r="429" spans="1:9" x14ac:dyDescent="0.2">
      <c r="A429" s="7"/>
      <c r="C429" t="str">
        <f>IFERROR(VLOOKUP(B429,'Commission Rates'!$A:$C,2,FALSE),"")</f>
        <v/>
      </c>
      <c r="E429" s="8">
        <f>IFERROR(VLOOKUP(B429,'Commission Rates'!$A:$C,3,FALSE),0)</f>
        <v>0</v>
      </c>
      <c r="F429" s="8" t="str">
        <f>IF(B429="","",D429*E429)</f>
        <v/>
      </c>
      <c r="H429" t="str">
        <f>IF(A429="","",WEEKNUM(A429,1))</f>
        <v/>
      </c>
      <c r="I429" t="str">
        <f>IFERROR(INDEX('Pay Calendar'!$B$2:$B$10,MATCH(H429,'Pay Calendar'!$A$2:$A$10,0)),"")</f>
        <v/>
      </c>
    </row>
    <row r="430" spans="1:9" x14ac:dyDescent="0.2">
      <c r="A430" s="7"/>
      <c r="C430" t="str">
        <f>IFERROR(VLOOKUP(B430,'Commission Rates'!$A:$C,2,FALSE),"")</f>
        <v/>
      </c>
      <c r="E430" s="8">
        <f>IFERROR(VLOOKUP(B430,'Commission Rates'!$A:$C,3,FALSE),0)</f>
        <v>0</v>
      </c>
      <c r="F430" s="8" t="str">
        <f>IF(B430="","",D430*E430)</f>
        <v/>
      </c>
      <c r="H430" t="str">
        <f>IF(A430="","",WEEKNUM(A430,1))</f>
        <v/>
      </c>
      <c r="I430" t="str">
        <f>IFERROR(INDEX('Pay Calendar'!$B$2:$B$10,MATCH(H430,'Pay Calendar'!$A$2:$A$10,0)),"")</f>
        <v/>
      </c>
    </row>
    <row r="431" spans="1:9" x14ac:dyDescent="0.2">
      <c r="A431" s="7"/>
      <c r="C431" t="str">
        <f>IFERROR(VLOOKUP(B431,'Commission Rates'!$A:$C,2,FALSE),"")</f>
        <v/>
      </c>
      <c r="E431" s="8">
        <f>IFERROR(VLOOKUP(B431,'Commission Rates'!$A:$C,3,FALSE),0)</f>
        <v>0</v>
      </c>
      <c r="F431" s="8" t="str">
        <f>IF(B431="","",D431*E431)</f>
        <v/>
      </c>
      <c r="H431" t="str">
        <f>IF(A431="","",WEEKNUM(A431,1))</f>
        <v/>
      </c>
      <c r="I431" t="str">
        <f>IFERROR(INDEX('Pay Calendar'!$B$2:$B$10,MATCH(H431,'Pay Calendar'!$A$2:$A$10,0)),"")</f>
        <v/>
      </c>
    </row>
    <row r="432" spans="1:9" x14ac:dyDescent="0.2">
      <c r="A432" s="7"/>
      <c r="C432" t="str">
        <f>IFERROR(VLOOKUP(B432,'Commission Rates'!$A:$C,2,FALSE),"")</f>
        <v/>
      </c>
      <c r="E432" s="8">
        <f>IFERROR(VLOOKUP(B432,'Commission Rates'!$A:$C,3,FALSE),0)</f>
        <v>0</v>
      </c>
      <c r="F432" s="8" t="str">
        <f>IF(B432="","",D432*E432)</f>
        <v/>
      </c>
      <c r="H432" t="str">
        <f>IF(A432="","",WEEKNUM(A432,1))</f>
        <v/>
      </c>
      <c r="I432" t="str">
        <f>IFERROR(INDEX('Pay Calendar'!$B$2:$B$10,MATCH(H432,'Pay Calendar'!$A$2:$A$10,0)),"")</f>
        <v/>
      </c>
    </row>
    <row r="433" spans="1:9" x14ac:dyDescent="0.2">
      <c r="A433" s="7"/>
      <c r="C433" t="str">
        <f>IFERROR(VLOOKUP(B433,'Commission Rates'!$A:$C,2,FALSE),"")</f>
        <v/>
      </c>
      <c r="E433" s="8">
        <f>IFERROR(VLOOKUP(B433,'Commission Rates'!$A:$C,3,FALSE),0)</f>
        <v>0</v>
      </c>
      <c r="F433" s="8" t="str">
        <f>IF(B433="","",D433*E433)</f>
        <v/>
      </c>
      <c r="H433" t="str">
        <f>IF(A433="","",WEEKNUM(A433,1))</f>
        <v/>
      </c>
      <c r="I433" t="str">
        <f>IFERROR(INDEX('Pay Calendar'!$B$2:$B$10,MATCH(H433,'Pay Calendar'!$A$2:$A$10,0)),"")</f>
        <v/>
      </c>
    </row>
    <row r="434" spans="1:9" x14ac:dyDescent="0.2">
      <c r="A434" s="7"/>
      <c r="C434" t="str">
        <f>IFERROR(VLOOKUP(B434,'Commission Rates'!$A:$C,2,FALSE),"")</f>
        <v/>
      </c>
      <c r="E434" s="8">
        <f>IFERROR(VLOOKUP(B434,'Commission Rates'!$A:$C,3,FALSE),0)</f>
        <v>0</v>
      </c>
      <c r="F434" s="8" t="str">
        <f>IF(B434="","",D434*E434)</f>
        <v/>
      </c>
      <c r="H434" t="str">
        <f>IF(A434="","",WEEKNUM(A434,1))</f>
        <v/>
      </c>
      <c r="I434" t="str">
        <f>IFERROR(INDEX('Pay Calendar'!$B$2:$B$10,MATCH(H434,'Pay Calendar'!$A$2:$A$10,0)),"")</f>
        <v/>
      </c>
    </row>
    <row r="435" spans="1:9" x14ac:dyDescent="0.2">
      <c r="A435" s="7"/>
      <c r="C435" t="str">
        <f>IFERROR(VLOOKUP(B435,'Commission Rates'!$A:$C,2,FALSE),"")</f>
        <v/>
      </c>
      <c r="E435" s="8">
        <f>IFERROR(VLOOKUP(B435,'Commission Rates'!$A:$C,3,FALSE),0)</f>
        <v>0</v>
      </c>
      <c r="F435" s="8" t="str">
        <f>IF(B435="","",D435*E435)</f>
        <v/>
      </c>
      <c r="H435" t="str">
        <f>IF(A435="","",WEEKNUM(A435,1))</f>
        <v/>
      </c>
      <c r="I435" t="str">
        <f>IFERROR(INDEX('Pay Calendar'!$B$2:$B$10,MATCH(H435,'Pay Calendar'!$A$2:$A$10,0)),"")</f>
        <v/>
      </c>
    </row>
    <row r="436" spans="1:9" x14ac:dyDescent="0.2">
      <c r="A436" s="7"/>
      <c r="C436" t="str">
        <f>IFERROR(VLOOKUP(B436,'Commission Rates'!$A:$C,2,FALSE),"")</f>
        <v/>
      </c>
      <c r="E436" s="8">
        <f>IFERROR(VLOOKUP(B436,'Commission Rates'!$A:$C,3,FALSE),0)</f>
        <v>0</v>
      </c>
      <c r="F436" s="8" t="str">
        <f>IF(B436="","",D436*E436)</f>
        <v/>
      </c>
      <c r="H436" t="str">
        <f>IF(A436="","",WEEKNUM(A436,1))</f>
        <v/>
      </c>
      <c r="I436" t="str">
        <f>IFERROR(INDEX('Pay Calendar'!$B$2:$B$10,MATCH(H436,'Pay Calendar'!$A$2:$A$10,0)),"")</f>
        <v/>
      </c>
    </row>
    <row r="437" spans="1:9" x14ac:dyDescent="0.2">
      <c r="A437" s="7"/>
      <c r="C437" t="str">
        <f>IFERROR(VLOOKUP(B437,'Commission Rates'!$A:$C,2,FALSE),"")</f>
        <v/>
      </c>
      <c r="E437" s="8">
        <f>IFERROR(VLOOKUP(B437,'Commission Rates'!$A:$C,3,FALSE),0)</f>
        <v>0</v>
      </c>
      <c r="F437" s="8" t="str">
        <f>IF(B437="","",D437*E437)</f>
        <v/>
      </c>
      <c r="H437" t="str">
        <f>IF(A437="","",WEEKNUM(A437,1))</f>
        <v/>
      </c>
      <c r="I437" t="str">
        <f>IFERROR(INDEX('Pay Calendar'!$B$2:$B$10,MATCH(H437,'Pay Calendar'!$A$2:$A$10,0)),"")</f>
        <v/>
      </c>
    </row>
    <row r="438" spans="1:9" x14ac:dyDescent="0.2">
      <c r="A438" s="7"/>
      <c r="C438" t="str">
        <f>IFERROR(VLOOKUP(B438,'Commission Rates'!$A:$C,2,FALSE),"")</f>
        <v/>
      </c>
      <c r="E438" s="8">
        <f>IFERROR(VLOOKUP(B438,'Commission Rates'!$A:$C,3,FALSE),0)</f>
        <v>0</v>
      </c>
      <c r="F438" s="8" t="str">
        <f>IF(B438="","",D438*E438)</f>
        <v/>
      </c>
      <c r="H438" t="str">
        <f>IF(A438="","",WEEKNUM(A438,1))</f>
        <v/>
      </c>
      <c r="I438" t="str">
        <f>IFERROR(INDEX('Pay Calendar'!$B$2:$B$10,MATCH(H438,'Pay Calendar'!$A$2:$A$10,0)),"")</f>
        <v/>
      </c>
    </row>
    <row r="439" spans="1:9" x14ac:dyDescent="0.2">
      <c r="A439" s="7"/>
      <c r="C439" t="str">
        <f>IFERROR(VLOOKUP(B439,'Commission Rates'!$A:$C,2,FALSE),"")</f>
        <v/>
      </c>
      <c r="E439" s="8">
        <f>IFERROR(VLOOKUP(B439,'Commission Rates'!$A:$C,3,FALSE),0)</f>
        <v>0</v>
      </c>
      <c r="F439" s="8" t="str">
        <f>IF(B439="","",D439*E439)</f>
        <v/>
      </c>
      <c r="H439" t="str">
        <f>IF(A439="","",WEEKNUM(A439,1))</f>
        <v/>
      </c>
      <c r="I439" t="str">
        <f>IFERROR(INDEX('Pay Calendar'!$B$2:$B$10,MATCH(H439,'Pay Calendar'!$A$2:$A$10,0)),"")</f>
        <v/>
      </c>
    </row>
    <row r="440" spans="1:9" x14ac:dyDescent="0.2">
      <c r="A440" s="7"/>
      <c r="C440" t="str">
        <f>IFERROR(VLOOKUP(B440,'Commission Rates'!$A:$C,2,FALSE),"")</f>
        <v/>
      </c>
      <c r="E440" s="8">
        <f>IFERROR(VLOOKUP(B440,'Commission Rates'!$A:$C,3,FALSE),0)</f>
        <v>0</v>
      </c>
      <c r="F440" s="8" t="str">
        <f>IF(B440="","",D440*E440)</f>
        <v/>
      </c>
      <c r="H440" t="str">
        <f>IF(A440="","",WEEKNUM(A440,1))</f>
        <v/>
      </c>
      <c r="I440" t="str">
        <f>IFERROR(INDEX('Pay Calendar'!$B$2:$B$10,MATCH(H440,'Pay Calendar'!$A$2:$A$10,0)),"")</f>
        <v/>
      </c>
    </row>
    <row r="441" spans="1:9" x14ac:dyDescent="0.2">
      <c r="A441" s="7"/>
      <c r="C441" t="str">
        <f>IFERROR(VLOOKUP(B441,'Commission Rates'!$A:$C,2,FALSE),"")</f>
        <v/>
      </c>
      <c r="E441" s="8">
        <f>IFERROR(VLOOKUP(B441,'Commission Rates'!$A:$C,3,FALSE),0)</f>
        <v>0</v>
      </c>
      <c r="F441" s="8" t="str">
        <f>IF(B441="","",D441*E441)</f>
        <v/>
      </c>
      <c r="H441" t="str">
        <f>IF(A441="","",WEEKNUM(A441,1))</f>
        <v/>
      </c>
      <c r="I441" t="str">
        <f>IFERROR(INDEX('Pay Calendar'!$B$2:$B$10,MATCH(H441,'Pay Calendar'!$A$2:$A$10,0)),"")</f>
        <v/>
      </c>
    </row>
    <row r="442" spans="1:9" x14ac:dyDescent="0.2">
      <c r="A442" s="7"/>
      <c r="C442" t="str">
        <f>IFERROR(VLOOKUP(B442,'Commission Rates'!$A:$C,2,FALSE),"")</f>
        <v/>
      </c>
      <c r="E442" s="8">
        <f>IFERROR(VLOOKUP(B442,'Commission Rates'!$A:$C,3,FALSE),0)</f>
        <v>0</v>
      </c>
      <c r="F442" s="8" t="str">
        <f>IF(B442="","",D442*E442)</f>
        <v/>
      </c>
      <c r="H442" t="str">
        <f>IF(A442="","",WEEKNUM(A442,1))</f>
        <v/>
      </c>
      <c r="I442" t="str">
        <f>IFERROR(INDEX('Pay Calendar'!$B$2:$B$10,MATCH(H442,'Pay Calendar'!$A$2:$A$10,0)),"")</f>
        <v/>
      </c>
    </row>
    <row r="443" spans="1:9" x14ac:dyDescent="0.2">
      <c r="A443" s="7"/>
      <c r="C443" t="str">
        <f>IFERROR(VLOOKUP(B443,'Commission Rates'!$A:$C,2,FALSE),"")</f>
        <v/>
      </c>
      <c r="E443" s="8">
        <f>IFERROR(VLOOKUP(B443,'Commission Rates'!$A:$C,3,FALSE),0)</f>
        <v>0</v>
      </c>
      <c r="F443" s="8" t="str">
        <f>IF(B443="","",D443*E443)</f>
        <v/>
      </c>
      <c r="H443" t="str">
        <f>IF(A443="","",WEEKNUM(A443,1))</f>
        <v/>
      </c>
      <c r="I443" t="str">
        <f>IFERROR(INDEX('Pay Calendar'!$B$2:$B$10,MATCH(H443,'Pay Calendar'!$A$2:$A$10,0)),"")</f>
        <v/>
      </c>
    </row>
    <row r="444" spans="1:9" x14ac:dyDescent="0.2">
      <c r="A444" s="7"/>
      <c r="C444" t="str">
        <f>IFERROR(VLOOKUP(B444,'Commission Rates'!$A:$C,2,FALSE),"")</f>
        <v/>
      </c>
      <c r="E444" s="8">
        <f>IFERROR(VLOOKUP(B444,'Commission Rates'!$A:$C,3,FALSE),0)</f>
        <v>0</v>
      </c>
      <c r="F444" s="8" t="str">
        <f>IF(B444="","",D444*E444)</f>
        <v/>
      </c>
      <c r="H444" t="str">
        <f>IF(A444="","",WEEKNUM(A444,1))</f>
        <v/>
      </c>
      <c r="I444" t="str">
        <f>IFERROR(INDEX('Pay Calendar'!$B$2:$B$10,MATCH(H444,'Pay Calendar'!$A$2:$A$10,0)),"")</f>
        <v/>
      </c>
    </row>
    <row r="445" spans="1:9" x14ac:dyDescent="0.2">
      <c r="A445" s="7"/>
      <c r="C445" t="str">
        <f>IFERROR(VLOOKUP(B445,'Commission Rates'!$A:$C,2,FALSE),"")</f>
        <v/>
      </c>
      <c r="E445" s="8">
        <f>IFERROR(VLOOKUP(B445,'Commission Rates'!$A:$C,3,FALSE),0)</f>
        <v>0</v>
      </c>
      <c r="F445" s="8" t="str">
        <f>IF(B445="","",D445*E445)</f>
        <v/>
      </c>
      <c r="H445" t="str">
        <f>IF(A445="","",WEEKNUM(A445,1))</f>
        <v/>
      </c>
      <c r="I445" t="str">
        <f>IFERROR(INDEX('Pay Calendar'!$B$2:$B$10,MATCH(H445,'Pay Calendar'!$A$2:$A$10,0)),"")</f>
        <v/>
      </c>
    </row>
    <row r="446" spans="1:9" x14ac:dyDescent="0.2">
      <c r="A446" s="7"/>
      <c r="C446" t="str">
        <f>IFERROR(VLOOKUP(B446,'Commission Rates'!$A:$C,2,FALSE),"")</f>
        <v/>
      </c>
      <c r="E446" s="8">
        <f>IFERROR(VLOOKUP(B446,'Commission Rates'!$A:$C,3,FALSE),0)</f>
        <v>0</v>
      </c>
      <c r="F446" s="8" t="str">
        <f>IF(B446="","",D446*E446)</f>
        <v/>
      </c>
      <c r="H446" t="str">
        <f>IF(A446="","",WEEKNUM(A446,1))</f>
        <v/>
      </c>
      <c r="I446" t="str">
        <f>IFERROR(INDEX('Pay Calendar'!$B$2:$B$10,MATCH(H446,'Pay Calendar'!$A$2:$A$10,0)),"")</f>
        <v/>
      </c>
    </row>
    <row r="447" spans="1:9" x14ac:dyDescent="0.2">
      <c r="A447" s="7"/>
      <c r="C447" t="str">
        <f>IFERROR(VLOOKUP(B447,'Commission Rates'!$A:$C,2,FALSE),"")</f>
        <v/>
      </c>
      <c r="E447" s="8">
        <f>IFERROR(VLOOKUP(B447,'Commission Rates'!$A:$C,3,FALSE),0)</f>
        <v>0</v>
      </c>
      <c r="F447" s="8" t="str">
        <f>IF(B447="","",D447*E447)</f>
        <v/>
      </c>
      <c r="H447" t="str">
        <f>IF(A447="","",WEEKNUM(A447,1))</f>
        <v/>
      </c>
      <c r="I447" t="str">
        <f>IFERROR(INDEX('Pay Calendar'!$B$2:$B$10,MATCH(H447,'Pay Calendar'!$A$2:$A$10,0)),"")</f>
        <v/>
      </c>
    </row>
    <row r="448" spans="1:9" x14ac:dyDescent="0.2">
      <c r="A448" s="7"/>
      <c r="C448" t="str">
        <f>IFERROR(VLOOKUP(B448,'Commission Rates'!$A:$C,2,FALSE),"")</f>
        <v/>
      </c>
      <c r="E448" s="8">
        <f>IFERROR(VLOOKUP(B448,'Commission Rates'!$A:$C,3,FALSE),0)</f>
        <v>0</v>
      </c>
      <c r="F448" s="8" t="str">
        <f>IF(B448="","",D448*E448)</f>
        <v/>
      </c>
      <c r="H448" t="str">
        <f>IF(A448="","",WEEKNUM(A448,1))</f>
        <v/>
      </c>
      <c r="I448" t="str">
        <f>IFERROR(INDEX('Pay Calendar'!$B$2:$B$10,MATCH(H448,'Pay Calendar'!$A$2:$A$10,0)),"")</f>
        <v/>
      </c>
    </row>
    <row r="449" spans="1:9" x14ac:dyDescent="0.2">
      <c r="A449" s="7"/>
      <c r="C449" t="str">
        <f>IFERROR(VLOOKUP(B449,'Commission Rates'!$A:$C,2,FALSE),"")</f>
        <v/>
      </c>
      <c r="E449" s="8">
        <f>IFERROR(VLOOKUP(B449,'Commission Rates'!$A:$C,3,FALSE),0)</f>
        <v>0</v>
      </c>
      <c r="F449" s="8" t="str">
        <f>IF(B449="","",D449*E449)</f>
        <v/>
      </c>
      <c r="H449" t="str">
        <f>IF(A449="","",WEEKNUM(A449,1))</f>
        <v/>
      </c>
      <c r="I449" t="str">
        <f>IFERROR(INDEX('Pay Calendar'!$B$2:$B$10,MATCH(H449,'Pay Calendar'!$A$2:$A$10,0)),"")</f>
        <v/>
      </c>
    </row>
    <row r="450" spans="1:9" x14ac:dyDescent="0.2">
      <c r="A450" s="7"/>
      <c r="C450" t="str">
        <f>IFERROR(VLOOKUP(B450,'Commission Rates'!$A:$C,2,FALSE),"")</f>
        <v/>
      </c>
      <c r="E450" s="8">
        <f>IFERROR(VLOOKUP(B450,'Commission Rates'!$A:$C,3,FALSE),0)</f>
        <v>0</v>
      </c>
      <c r="F450" s="8" t="str">
        <f>IF(B450="","",D450*E450)</f>
        <v/>
      </c>
      <c r="H450" t="str">
        <f>IF(A450="","",WEEKNUM(A450,1))</f>
        <v/>
      </c>
      <c r="I450" t="str">
        <f>IFERROR(INDEX('Pay Calendar'!$B$2:$B$10,MATCH(H450,'Pay Calendar'!$A$2:$A$10,0)),"")</f>
        <v/>
      </c>
    </row>
    <row r="451" spans="1:9" x14ac:dyDescent="0.2">
      <c r="A451" s="7"/>
      <c r="C451" t="str">
        <f>IFERROR(VLOOKUP(B451,'Commission Rates'!$A:$C,2,FALSE),"")</f>
        <v/>
      </c>
      <c r="E451" s="8">
        <f>IFERROR(VLOOKUP(B451,'Commission Rates'!$A:$C,3,FALSE),0)</f>
        <v>0</v>
      </c>
      <c r="F451" s="8" t="str">
        <f>IF(B451="","",D451*E451)</f>
        <v/>
      </c>
      <c r="H451" t="str">
        <f>IF(A451="","",WEEKNUM(A451,1))</f>
        <v/>
      </c>
      <c r="I451" t="str">
        <f>IFERROR(INDEX('Pay Calendar'!$B$2:$B$10,MATCH(H451,'Pay Calendar'!$A$2:$A$10,0)),"")</f>
        <v/>
      </c>
    </row>
    <row r="452" spans="1:9" x14ac:dyDescent="0.2">
      <c r="A452" s="7"/>
      <c r="C452" t="str">
        <f>IFERROR(VLOOKUP(B452,'Commission Rates'!$A:$C,2,FALSE),"")</f>
        <v/>
      </c>
      <c r="E452" s="8">
        <f>IFERROR(VLOOKUP(B452,'Commission Rates'!$A:$C,3,FALSE),0)</f>
        <v>0</v>
      </c>
      <c r="F452" s="8" t="str">
        <f>IF(B452="","",D452*E452)</f>
        <v/>
      </c>
      <c r="H452" t="str">
        <f>IF(A452="","",WEEKNUM(A452,1))</f>
        <v/>
      </c>
      <c r="I452" t="str">
        <f>IFERROR(INDEX('Pay Calendar'!$B$2:$B$10,MATCH(H452,'Pay Calendar'!$A$2:$A$10,0)),"")</f>
        <v/>
      </c>
    </row>
    <row r="453" spans="1:9" x14ac:dyDescent="0.2">
      <c r="A453" s="7"/>
      <c r="C453" t="str">
        <f>IFERROR(VLOOKUP(B453,'Commission Rates'!$A:$C,2,FALSE),"")</f>
        <v/>
      </c>
      <c r="E453" s="8">
        <f>IFERROR(VLOOKUP(B453,'Commission Rates'!$A:$C,3,FALSE),0)</f>
        <v>0</v>
      </c>
      <c r="F453" s="8" t="str">
        <f>IF(B453="","",D453*E453)</f>
        <v/>
      </c>
      <c r="H453" t="str">
        <f>IF(A453="","",WEEKNUM(A453,1))</f>
        <v/>
      </c>
      <c r="I453" t="str">
        <f>IFERROR(INDEX('Pay Calendar'!$B$2:$B$10,MATCH(H453,'Pay Calendar'!$A$2:$A$10,0)),"")</f>
        <v/>
      </c>
    </row>
    <row r="454" spans="1:9" x14ac:dyDescent="0.2">
      <c r="A454" s="7"/>
      <c r="C454" t="str">
        <f>IFERROR(VLOOKUP(B454,'Commission Rates'!$A:$C,2,FALSE),"")</f>
        <v/>
      </c>
      <c r="E454" s="8">
        <f>IFERROR(VLOOKUP(B454,'Commission Rates'!$A:$C,3,FALSE),0)</f>
        <v>0</v>
      </c>
      <c r="F454" s="8" t="str">
        <f>IF(B454="","",D454*E454)</f>
        <v/>
      </c>
      <c r="H454" t="str">
        <f>IF(A454="","",WEEKNUM(A454,1))</f>
        <v/>
      </c>
      <c r="I454" t="str">
        <f>IFERROR(INDEX('Pay Calendar'!$B$2:$B$10,MATCH(H454,'Pay Calendar'!$A$2:$A$10,0)),"")</f>
        <v/>
      </c>
    </row>
    <row r="455" spans="1:9" x14ac:dyDescent="0.2">
      <c r="A455" s="7"/>
      <c r="C455" t="str">
        <f>IFERROR(VLOOKUP(B455,'Commission Rates'!$A:$C,2,FALSE),"")</f>
        <v/>
      </c>
      <c r="E455" s="8">
        <f>IFERROR(VLOOKUP(B455,'Commission Rates'!$A:$C,3,FALSE),0)</f>
        <v>0</v>
      </c>
      <c r="F455" s="8" t="str">
        <f>IF(B455="","",D455*E455)</f>
        <v/>
      </c>
      <c r="H455" t="str">
        <f>IF(A455="","",WEEKNUM(A455,1))</f>
        <v/>
      </c>
      <c r="I455" t="str">
        <f>IFERROR(INDEX('Pay Calendar'!$B$2:$B$10,MATCH(H455,'Pay Calendar'!$A$2:$A$10,0)),"")</f>
        <v/>
      </c>
    </row>
    <row r="456" spans="1:9" x14ac:dyDescent="0.2">
      <c r="A456" s="7"/>
      <c r="C456" t="str">
        <f>IFERROR(VLOOKUP(B456,'Commission Rates'!$A:$C,2,FALSE),"")</f>
        <v/>
      </c>
      <c r="E456" s="8">
        <f>IFERROR(VLOOKUP(B456,'Commission Rates'!$A:$C,3,FALSE),0)</f>
        <v>0</v>
      </c>
      <c r="F456" s="8" t="str">
        <f>IF(B456="","",D456*E456)</f>
        <v/>
      </c>
      <c r="H456" t="str">
        <f>IF(A456="","",WEEKNUM(A456,1))</f>
        <v/>
      </c>
      <c r="I456" t="str">
        <f>IFERROR(INDEX('Pay Calendar'!$B$2:$B$10,MATCH(H456,'Pay Calendar'!$A$2:$A$10,0)),"")</f>
        <v/>
      </c>
    </row>
    <row r="457" spans="1:9" x14ac:dyDescent="0.2">
      <c r="A457" s="7"/>
      <c r="C457" t="str">
        <f>IFERROR(VLOOKUP(B457,'Commission Rates'!$A:$C,2,FALSE),"")</f>
        <v/>
      </c>
      <c r="E457" s="8">
        <f>IFERROR(VLOOKUP(B457,'Commission Rates'!$A:$C,3,FALSE),0)</f>
        <v>0</v>
      </c>
      <c r="F457" s="8" t="str">
        <f>IF(B457="","",D457*E457)</f>
        <v/>
      </c>
      <c r="H457" t="str">
        <f>IF(A457="","",WEEKNUM(A457,1))</f>
        <v/>
      </c>
      <c r="I457" t="str">
        <f>IFERROR(INDEX('Pay Calendar'!$B$2:$B$10,MATCH(H457,'Pay Calendar'!$A$2:$A$10,0)),"")</f>
        <v/>
      </c>
    </row>
    <row r="458" spans="1:9" x14ac:dyDescent="0.2">
      <c r="A458" s="7"/>
      <c r="C458" t="str">
        <f>IFERROR(VLOOKUP(B458,'Commission Rates'!$A:$C,2,FALSE),"")</f>
        <v/>
      </c>
      <c r="E458" s="8">
        <f>IFERROR(VLOOKUP(B458,'Commission Rates'!$A:$C,3,FALSE),0)</f>
        <v>0</v>
      </c>
      <c r="F458" s="8" t="str">
        <f>IF(B458="","",D458*E458)</f>
        <v/>
      </c>
      <c r="H458" t="str">
        <f>IF(A458="","",WEEKNUM(A458,1))</f>
        <v/>
      </c>
      <c r="I458" t="str">
        <f>IFERROR(INDEX('Pay Calendar'!$B$2:$B$10,MATCH(H458,'Pay Calendar'!$A$2:$A$10,0)),"")</f>
        <v/>
      </c>
    </row>
    <row r="459" spans="1:9" x14ac:dyDescent="0.2">
      <c r="A459" s="7"/>
      <c r="C459" t="str">
        <f>IFERROR(VLOOKUP(B459,'Commission Rates'!$A:$C,2,FALSE),"")</f>
        <v/>
      </c>
      <c r="E459" s="8">
        <f>IFERROR(VLOOKUP(B459,'Commission Rates'!$A:$C,3,FALSE),0)</f>
        <v>0</v>
      </c>
      <c r="F459" s="8" t="str">
        <f>IF(B459="","",D459*E459)</f>
        <v/>
      </c>
      <c r="H459" t="str">
        <f>IF(A459="","",WEEKNUM(A459,1))</f>
        <v/>
      </c>
      <c r="I459" t="str">
        <f>IFERROR(INDEX('Pay Calendar'!$B$2:$B$10,MATCH(H459,'Pay Calendar'!$A$2:$A$10,0)),"")</f>
        <v/>
      </c>
    </row>
    <row r="460" spans="1:9" x14ac:dyDescent="0.2">
      <c r="A460" s="7"/>
      <c r="C460" t="str">
        <f>IFERROR(VLOOKUP(B460,'Commission Rates'!$A:$C,2,FALSE),"")</f>
        <v/>
      </c>
      <c r="E460" s="8">
        <f>IFERROR(VLOOKUP(B460,'Commission Rates'!$A:$C,3,FALSE),0)</f>
        <v>0</v>
      </c>
      <c r="F460" s="8" t="str">
        <f>IF(B460="","",D460*E460)</f>
        <v/>
      </c>
      <c r="H460" t="str">
        <f>IF(A460="","",WEEKNUM(A460,1))</f>
        <v/>
      </c>
      <c r="I460" t="str">
        <f>IFERROR(INDEX('Pay Calendar'!$B$2:$B$10,MATCH(H460,'Pay Calendar'!$A$2:$A$10,0)),"")</f>
        <v/>
      </c>
    </row>
    <row r="461" spans="1:9" x14ac:dyDescent="0.2">
      <c r="A461" s="7"/>
      <c r="C461" t="str">
        <f>IFERROR(VLOOKUP(B461,'Commission Rates'!$A:$C,2,FALSE),"")</f>
        <v/>
      </c>
      <c r="E461" s="8">
        <f>IFERROR(VLOOKUP(B461,'Commission Rates'!$A:$C,3,FALSE),0)</f>
        <v>0</v>
      </c>
      <c r="F461" s="8" t="str">
        <f>IF(B461="","",D461*E461)</f>
        <v/>
      </c>
      <c r="H461" t="str">
        <f>IF(A461="","",WEEKNUM(A461,1))</f>
        <v/>
      </c>
      <c r="I461" t="str">
        <f>IFERROR(INDEX('Pay Calendar'!$B$2:$B$10,MATCH(H461,'Pay Calendar'!$A$2:$A$10,0)),"")</f>
        <v/>
      </c>
    </row>
    <row r="462" spans="1:9" x14ac:dyDescent="0.2">
      <c r="A462" s="7"/>
      <c r="C462" t="str">
        <f>IFERROR(VLOOKUP(B462,'Commission Rates'!$A:$C,2,FALSE),"")</f>
        <v/>
      </c>
      <c r="E462" s="8">
        <f>IFERROR(VLOOKUP(B462,'Commission Rates'!$A:$C,3,FALSE),0)</f>
        <v>0</v>
      </c>
      <c r="F462" s="8" t="str">
        <f>IF(B462="","",D462*E462)</f>
        <v/>
      </c>
      <c r="H462" t="str">
        <f>IF(A462="","",WEEKNUM(A462,1))</f>
        <v/>
      </c>
      <c r="I462" t="str">
        <f>IFERROR(INDEX('Pay Calendar'!$B$2:$B$10,MATCH(H462,'Pay Calendar'!$A$2:$A$10,0)),"")</f>
        <v/>
      </c>
    </row>
    <row r="463" spans="1:9" x14ac:dyDescent="0.2">
      <c r="A463" s="7"/>
      <c r="C463" t="str">
        <f>IFERROR(VLOOKUP(B463,'Commission Rates'!$A:$C,2,FALSE),"")</f>
        <v/>
      </c>
      <c r="E463" s="8">
        <f>IFERROR(VLOOKUP(B463,'Commission Rates'!$A:$C,3,FALSE),0)</f>
        <v>0</v>
      </c>
      <c r="F463" s="8" t="str">
        <f>IF(B463="","",D463*E463)</f>
        <v/>
      </c>
      <c r="H463" t="str">
        <f>IF(A463="","",WEEKNUM(A463,1))</f>
        <v/>
      </c>
      <c r="I463" t="str">
        <f>IFERROR(INDEX('Pay Calendar'!$B$2:$B$10,MATCH(H463,'Pay Calendar'!$A$2:$A$10,0)),"")</f>
        <v/>
      </c>
    </row>
    <row r="464" spans="1:9" x14ac:dyDescent="0.2">
      <c r="A464" s="7"/>
      <c r="C464" t="str">
        <f>IFERROR(VLOOKUP(B464,'Commission Rates'!$A:$C,2,FALSE),"")</f>
        <v/>
      </c>
      <c r="E464" s="8">
        <f>IFERROR(VLOOKUP(B464,'Commission Rates'!$A:$C,3,FALSE),0)</f>
        <v>0</v>
      </c>
      <c r="F464" s="8" t="str">
        <f>IF(B464="","",D464*E464)</f>
        <v/>
      </c>
      <c r="H464" t="str">
        <f>IF(A464="","",WEEKNUM(A464,1))</f>
        <v/>
      </c>
      <c r="I464" t="str">
        <f>IFERROR(INDEX('Pay Calendar'!$B$2:$B$10,MATCH(H464,'Pay Calendar'!$A$2:$A$10,0)),"")</f>
        <v/>
      </c>
    </row>
    <row r="465" spans="1:9" x14ac:dyDescent="0.2">
      <c r="A465" s="7"/>
      <c r="C465" t="str">
        <f>IFERROR(VLOOKUP(B465,'Commission Rates'!$A:$C,2,FALSE),"")</f>
        <v/>
      </c>
      <c r="E465" s="8">
        <f>IFERROR(VLOOKUP(B465,'Commission Rates'!$A:$C,3,FALSE),0)</f>
        <v>0</v>
      </c>
      <c r="F465" s="8" t="str">
        <f>IF(B465="","",D465*E465)</f>
        <v/>
      </c>
      <c r="H465" t="str">
        <f>IF(A465="","",WEEKNUM(A465,1))</f>
        <v/>
      </c>
      <c r="I465" t="str">
        <f>IFERROR(INDEX('Pay Calendar'!$B$2:$B$10,MATCH(H465,'Pay Calendar'!$A$2:$A$10,0)),"")</f>
        <v/>
      </c>
    </row>
    <row r="466" spans="1:9" x14ac:dyDescent="0.2">
      <c r="A466" s="7"/>
      <c r="C466" t="str">
        <f>IFERROR(VLOOKUP(B466,'Commission Rates'!$A:$C,2,FALSE),"")</f>
        <v/>
      </c>
      <c r="E466" s="8">
        <f>IFERROR(VLOOKUP(B466,'Commission Rates'!$A:$C,3,FALSE),0)</f>
        <v>0</v>
      </c>
      <c r="F466" s="8" t="str">
        <f>IF(B466="","",D466*E466)</f>
        <v/>
      </c>
      <c r="H466" t="str">
        <f>IF(A466="","",WEEKNUM(A466,1))</f>
        <v/>
      </c>
      <c r="I466" t="str">
        <f>IFERROR(INDEX('Pay Calendar'!$B$2:$B$10,MATCH(H466,'Pay Calendar'!$A$2:$A$10,0)),"")</f>
        <v/>
      </c>
    </row>
    <row r="467" spans="1:9" x14ac:dyDescent="0.2">
      <c r="A467" s="7"/>
      <c r="C467" t="str">
        <f>IFERROR(VLOOKUP(B467,'Commission Rates'!$A:$C,2,FALSE),"")</f>
        <v/>
      </c>
      <c r="E467" s="8">
        <f>IFERROR(VLOOKUP(B467,'Commission Rates'!$A:$C,3,FALSE),0)</f>
        <v>0</v>
      </c>
      <c r="F467" s="8" t="str">
        <f>IF(B467="","",D467*E467)</f>
        <v/>
      </c>
      <c r="H467" t="str">
        <f>IF(A467="","",WEEKNUM(A467,1))</f>
        <v/>
      </c>
      <c r="I467" t="str">
        <f>IFERROR(INDEX('Pay Calendar'!$B$2:$B$10,MATCH(H467,'Pay Calendar'!$A$2:$A$10,0)),"")</f>
        <v/>
      </c>
    </row>
    <row r="468" spans="1:9" x14ac:dyDescent="0.2">
      <c r="A468" s="7"/>
      <c r="C468" t="str">
        <f>IFERROR(VLOOKUP(B468,'Commission Rates'!$A:$C,2,FALSE),"")</f>
        <v/>
      </c>
      <c r="E468" s="8">
        <f>IFERROR(VLOOKUP(B468,'Commission Rates'!$A:$C,3,FALSE),0)</f>
        <v>0</v>
      </c>
      <c r="F468" s="8" t="str">
        <f>IF(B468="","",D468*E468)</f>
        <v/>
      </c>
      <c r="H468" t="str">
        <f>IF(A468="","",WEEKNUM(A468,1))</f>
        <v/>
      </c>
      <c r="I468" t="str">
        <f>IFERROR(INDEX('Pay Calendar'!$B$2:$B$10,MATCH(H468,'Pay Calendar'!$A$2:$A$10,0)),"")</f>
        <v/>
      </c>
    </row>
    <row r="469" spans="1:9" x14ac:dyDescent="0.2">
      <c r="A469" s="7"/>
      <c r="C469" t="str">
        <f>IFERROR(VLOOKUP(B469,'Commission Rates'!$A:$C,2,FALSE),"")</f>
        <v/>
      </c>
      <c r="E469" s="8">
        <f>IFERROR(VLOOKUP(B469,'Commission Rates'!$A:$C,3,FALSE),0)</f>
        <v>0</v>
      </c>
      <c r="F469" s="8" t="str">
        <f>IF(B469="","",D469*E469)</f>
        <v/>
      </c>
      <c r="H469" t="str">
        <f>IF(A469="","",WEEKNUM(A469,1))</f>
        <v/>
      </c>
      <c r="I469" t="str">
        <f>IFERROR(INDEX('Pay Calendar'!$B$2:$B$10,MATCH(H469,'Pay Calendar'!$A$2:$A$10,0)),"")</f>
        <v/>
      </c>
    </row>
    <row r="470" spans="1:9" x14ac:dyDescent="0.2">
      <c r="A470" s="7"/>
      <c r="C470" t="str">
        <f>IFERROR(VLOOKUP(B470,'Commission Rates'!$A:$C,2,FALSE),"")</f>
        <v/>
      </c>
      <c r="E470" s="8">
        <f>IFERROR(VLOOKUP(B470,'Commission Rates'!$A:$C,3,FALSE),0)</f>
        <v>0</v>
      </c>
      <c r="F470" s="8" t="str">
        <f>IF(B470="","",D470*E470)</f>
        <v/>
      </c>
      <c r="H470" t="str">
        <f>IF(A470="","",WEEKNUM(A470,1))</f>
        <v/>
      </c>
      <c r="I470" t="str">
        <f>IFERROR(INDEX('Pay Calendar'!$B$2:$B$10,MATCH(H470,'Pay Calendar'!$A$2:$A$10,0)),"")</f>
        <v/>
      </c>
    </row>
    <row r="471" spans="1:9" x14ac:dyDescent="0.2">
      <c r="A471" s="7"/>
      <c r="C471" t="str">
        <f>IFERROR(VLOOKUP(B471,'Commission Rates'!$A:$C,2,FALSE),"")</f>
        <v/>
      </c>
      <c r="E471" s="8">
        <f>IFERROR(VLOOKUP(B471,'Commission Rates'!$A:$C,3,FALSE),0)</f>
        <v>0</v>
      </c>
      <c r="F471" s="8" t="str">
        <f>IF(B471="","",D471*E471)</f>
        <v/>
      </c>
      <c r="H471" t="str">
        <f>IF(A471="","",WEEKNUM(A471,1))</f>
        <v/>
      </c>
      <c r="I471" t="str">
        <f>IFERROR(INDEX('Pay Calendar'!$B$2:$B$10,MATCH(H471,'Pay Calendar'!$A$2:$A$10,0)),"")</f>
        <v/>
      </c>
    </row>
    <row r="472" spans="1:9" x14ac:dyDescent="0.2">
      <c r="A472" s="7"/>
      <c r="C472" t="str">
        <f>IFERROR(VLOOKUP(B472,'Commission Rates'!$A:$C,2,FALSE),"")</f>
        <v/>
      </c>
      <c r="E472" s="8">
        <f>IFERROR(VLOOKUP(B472,'Commission Rates'!$A:$C,3,FALSE),0)</f>
        <v>0</v>
      </c>
      <c r="F472" s="8" t="str">
        <f>IF(B472="","",D472*E472)</f>
        <v/>
      </c>
      <c r="H472" t="str">
        <f>IF(A472="","",WEEKNUM(A472,1))</f>
        <v/>
      </c>
      <c r="I472" t="str">
        <f>IFERROR(INDEX('Pay Calendar'!$B$2:$B$10,MATCH(H472,'Pay Calendar'!$A$2:$A$10,0)),"")</f>
        <v/>
      </c>
    </row>
    <row r="473" spans="1:9" x14ac:dyDescent="0.2">
      <c r="A473" s="7"/>
      <c r="C473" t="str">
        <f>IFERROR(VLOOKUP(B473,'Commission Rates'!$A:$C,2,FALSE),"")</f>
        <v/>
      </c>
      <c r="E473" s="8">
        <f>IFERROR(VLOOKUP(B473,'Commission Rates'!$A:$C,3,FALSE),0)</f>
        <v>0</v>
      </c>
      <c r="F473" s="8" t="str">
        <f>IF(B473="","",D473*E473)</f>
        <v/>
      </c>
      <c r="H473" t="str">
        <f>IF(A473="","",WEEKNUM(A473,1))</f>
        <v/>
      </c>
      <c r="I473" t="str">
        <f>IFERROR(INDEX('Pay Calendar'!$B$2:$B$10,MATCH(H473,'Pay Calendar'!$A$2:$A$10,0)),"")</f>
        <v/>
      </c>
    </row>
    <row r="474" spans="1:9" x14ac:dyDescent="0.2">
      <c r="A474" s="7"/>
      <c r="C474" t="str">
        <f>IFERROR(VLOOKUP(B474,'Commission Rates'!$A:$C,2,FALSE),"")</f>
        <v/>
      </c>
      <c r="E474" s="8">
        <f>IFERROR(VLOOKUP(B474,'Commission Rates'!$A:$C,3,FALSE),0)</f>
        <v>0</v>
      </c>
      <c r="F474" s="8" t="str">
        <f>IF(B474="","",D474*E474)</f>
        <v/>
      </c>
      <c r="H474" t="str">
        <f>IF(A474="","",WEEKNUM(A474,1))</f>
        <v/>
      </c>
      <c r="I474" t="str">
        <f>IFERROR(INDEX('Pay Calendar'!$B$2:$B$10,MATCH(H474,'Pay Calendar'!$A$2:$A$10,0)),"")</f>
        <v/>
      </c>
    </row>
    <row r="475" spans="1:9" x14ac:dyDescent="0.2">
      <c r="A475" s="7"/>
      <c r="C475" t="str">
        <f>IFERROR(VLOOKUP(B475,'Commission Rates'!$A:$C,2,FALSE),"")</f>
        <v/>
      </c>
      <c r="E475" s="8">
        <f>IFERROR(VLOOKUP(B475,'Commission Rates'!$A:$C,3,FALSE),0)</f>
        <v>0</v>
      </c>
      <c r="F475" s="8" t="str">
        <f>IF(B475="","",D475*E475)</f>
        <v/>
      </c>
      <c r="H475" t="str">
        <f>IF(A475="","",WEEKNUM(A475,1))</f>
        <v/>
      </c>
      <c r="I475" t="str">
        <f>IFERROR(INDEX('Pay Calendar'!$B$2:$B$10,MATCH(H475,'Pay Calendar'!$A$2:$A$10,0)),"")</f>
        <v/>
      </c>
    </row>
    <row r="476" spans="1:9" x14ac:dyDescent="0.2">
      <c r="A476" s="7"/>
      <c r="C476" t="str">
        <f>IFERROR(VLOOKUP(B476,'Commission Rates'!$A:$C,2,FALSE),"")</f>
        <v/>
      </c>
      <c r="E476" s="8">
        <f>IFERROR(VLOOKUP(B476,'Commission Rates'!$A:$C,3,FALSE),0)</f>
        <v>0</v>
      </c>
      <c r="F476" s="8" t="str">
        <f>IF(B476="","",D476*E476)</f>
        <v/>
      </c>
      <c r="H476" t="str">
        <f>IF(A476="","",WEEKNUM(A476,1))</f>
        <v/>
      </c>
      <c r="I476" t="str">
        <f>IFERROR(INDEX('Pay Calendar'!$B$2:$B$10,MATCH(H476,'Pay Calendar'!$A$2:$A$10,0)),"")</f>
        <v/>
      </c>
    </row>
    <row r="477" spans="1:9" x14ac:dyDescent="0.2">
      <c r="A477" s="7"/>
      <c r="C477" t="str">
        <f>IFERROR(VLOOKUP(B477,'Commission Rates'!$A:$C,2,FALSE),"")</f>
        <v/>
      </c>
      <c r="E477" s="8">
        <f>IFERROR(VLOOKUP(B477,'Commission Rates'!$A:$C,3,FALSE),0)</f>
        <v>0</v>
      </c>
      <c r="F477" s="8" t="str">
        <f>IF(B477="","",D477*E477)</f>
        <v/>
      </c>
      <c r="H477" t="str">
        <f>IF(A477="","",WEEKNUM(A477,1))</f>
        <v/>
      </c>
      <c r="I477" t="str">
        <f>IFERROR(INDEX('Pay Calendar'!$B$2:$B$10,MATCH(H477,'Pay Calendar'!$A$2:$A$10,0)),"")</f>
        <v/>
      </c>
    </row>
    <row r="478" spans="1:9" x14ac:dyDescent="0.2">
      <c r="A478" s="7"/>
      <c r="C478" t="str">
        <f>IFERROR(VLOOKUP(B478,'Commission Rates'!$A:$C,2,FALSE),"")</f>
        <v/>
      </c>
      <c r="E478" s="8">
        <f>IFERROR(VLOOKUP(B478,'Commission Rates'!$A:$C,3,FALSE),0)</f>
        <v>0</v>
      </c>
      <c r="F478" s="8" t="str">
        <f>IF(B478="","",D478*E478)</f>
        <v/>
      </c>
      <c r="H478" t="str">
        <f>IF(A478="","",WEEKNUM(A478,1))</f>
        <v/>
      </c>
      <c r="I478" t="str">
        <f>IFERROR(INDEX('Pay Calendar'!$B$2:$B$10,MATCH(H478,'Pay Calendar'!$A$2:$A$10,0)),"")</f>
        <v/>
      </c>
    </row>
    <row r="479" spans="1:9" x14ac:dyDescent="0.2">
      <c r="A479" s="7"/>
      <c r="C479" t="str">
        <f>IFERROR(VLOOKUP(B479,'Commission Rates'!$A:$C,2,FALSE),"")</f>
        <v/>
      </c>
      <c r="E479" s="8">
        <f>IFERROR(VLOOKUP(B479,'Commission Rates'!$A:$C,3,FALSE),0)</f>
        <v>0</v>
      </c>
      <c r="F479" s="8" t="str">
        <f>IF(B479="","",D479*E479)</f>
        <v/>
      </c>
      <c r="H479" t="str">
        <f>IF(A479="","",WEEKNUM(A479,1))</f>
        <v/>
      </c>
      <c r="I479" t="str">
        <f>IFERROR(INDEX('Pay Calendar'!$B$2:$B$10,MATCH(H479,'Pay Calendar'!$A$2:$A$10,0)),"")</f>
        <v/>
      </c>
    </row>
    <row r="480" spans="1:9" x14ac:dyDescent="0.2">
      <c r="A480" s="7"/>
      <c r="C480" t="str">
        <f>IFERROR(VLOOKUP(B480,'Commission Rates'!$A:$C,2,FALSE),"")</f>
        <v/>
      </c>
      <c r="E480" s="8">
        <f>IFERROR(VLOOKUP(B480,'Commission Rates'!$A:$C,3,FALSE),0)</f>
        <v>0</v>
      </c>
      <c r="F480" s="8" t="str">
        <f>IF(B480="","",D480*E480)</f>
        <v/>
      </c>
      <c r="H480" t="str">
        <f>IF(A480="","",WEEKNUM(A480,1))</f>
        <v/>
      </c>
      <c r="I480" t="str">
        <f>IFERROR(INDEX('Pay Calendar'!$B$2:$B$10,MATCH(H480,'Pay Calendar'!$A$2:$A$10,0)),"")</f>
        <v/>
      </c>
    </row>
    <row r="481" spans="1:9" x14ac:dyDescent="0.2">
      <c r="A481" s="7"/>
      <c r="C481" t="str">
        <f>IFERROR(VLOOKUP(B481,'Commission Rates'!$A:$C,2,FALSE),"")</f>
        <v/>
      </c>
      <c r="E481" s="8">
        <f>IFERROR(VLOOKUP(B481,'Commission Rates'!$A:$C,3,FALSE),0)</f>
        <v>0</v>
      </c>
      <c r="F481" s="8" t="str">
        <f>IF(B481="","",D481*E481)</f>
        <v/>
      </c>
      <c r="H481" t="str">
        <f>IF(A481="","",WEEKNUM(A481,1))</f>
        <v/>
      </c>
      <c r="I481" t="str">
        <f>IFERROR(INDEX('Pay Calendar'!$B$2:$B$10,MATCH(H481,'Pay Calendar'!$A$2:$A$10,0)),"")</f>
        <v/>
      </c>
    </row>
    <row r="482" spans="1:9" x14ac:dyDescent="0.2">
      <c r="A482" s="7"/>
      <c r="C482" t="str">
        <f>IFERROR(VLOOKUP(B482,'Commission Rates'!$A:$C,2,FALSE),"")</f>
        <v/>
      </c>
      <c r="E482" s="8">
        <f>IFERROR(VLOOKUP(B482,'Commission Rates'!$A:$C,3,FALSE),0)</f>
        <v>0</v>
      </c>
      <c r="F482" s="8" t="str">
        <f>IF(B482="","",D482*E482)</f>
        <v/>
      </c>
      <c r="H482" t="str">
        <f>IF(A482="","",WEEKNUM(A482,1))</f>
        <v/>
      </c>
      <c r="I482" t="str">
        <f>IFERROR(INDEX('Pay Calendar'!$B$2:$B$10,MATCH(H482,'Pay Calendar'!$A$2:$A$10,0)),"")</f>
        <v/>
      </c>
    </row>
    <row r="483" spans="1:9" x14ac:dyDescent="0.2">
      <c r="A483" s="7"/>
      <c r="C483" t="str">
        <f>IFERROR(VLOOKUP(B483,'Commission Rates'!$A:$C,2,FALSE),"")</f>
        <v/>
      </c>
      <c r="E483" s="8">
        <f>IFERROR(VLOOKUP(B483,'Commission Rates'!$A:$C,3,FALSE),0)</f>
        <v>0</v>
      </c>
      <c r="F483" s="8" t="str">
        <f>IF(B483="","",D483*E483)</f>
        <v/>
      </c>
      <c r="H483" t="str">
        <f>IF(A483="","",WEEKNUM(A483,1))</f>
        <v/>
      </c>
      <c r="I483" t="str">
        <f>IFERROR(INDEX('Pay Calendar'!$B$2:$B$10,MATCH(H483,'Pay Calendar'!$A$2:$A$10,0)),"")</f>
        <v/>
      </c>
    </row>
    <row r="484" spans="1:9" x14ac:dyDescent="0.2">
      <c r="A484" s="7"/>
      <c r="C484" t="str">
        <f>IFERROR(VLOOKUP(B484,'Commission Rates'!$A:$C,2,FALSE),"")</f>
        <v/>
      </c>
      <c r="E484" s="8">
        <f>IFERROR(VLOOKUP(B484,'Commission Rates'!$A:$C,3,FALSE),0)</f>
        <v>0</v>
      </c>
      <c r="F484" s="8" t="str">
        <f>IF(B484="","",D484*E484)</f>
        <v/>
      </c>
      <c r="H484" t="str">
        <f>IF(A484="","",WEEKNUM(A484,1))</f>
        <v/>
      </c>
      <c r="I484" t="str">
        <f>IFERROR(INDEX('Pay Calendar'!$B$2:$B$10,MATCH(H484,'Pay Calendar'!$A$2:$A$10,0)),"")</f>
        <v/>
      </c>
    </row>
    <row r="485" spans="1:9" x14ac:dyDescent="0.2">
      <c r="A485" s="7"/>
      <c r="C485" t="str">
        <f>IFERROR(VLOOKUP(B485,'Commission Rates'!$A:$C,2,FALSE),"")</f>
        <v/>
      </c>
      <c r="E485" s="8">
        <f>IFERROR(VLOOKUP(B485,'Commission Rates'!$A:$C,3,FALSE),0)</f>
        <v>0</v>
      </c>
      <c r="F485" s="8" t="str">
        <f>IF(B485="","",D485*E485)</f>
        <v/>
      </c>
      <c r="H485" t="str">
        <f>IF(A485="","",WEEKNUM(A485,1))</f>
        <v/>
      </c>
      <c r="I485" t="str">
        <f>IFERROR(INDEX('Pay Calendar'!$B$2:$B$10,MATCH(H485,'Pay Calendar'!$A$2:$A$10,0)),"")</f>
        <v/>
      </c>
    </row>
    <row r="486" spans="1:9" x14ac:dyDescent="0.2">
      <c r="A486" s="7"/>
      <c r="C486" t="str">
        <f>IFERROR(VLOOKUP(B486,'Commission Rates'!$A:$C,2,FALSE),"")</f>
        <v/>
      </c>
      <c r="E486" s="8">
        <f>IFERROR(VLOOKUP(B486,'Commission Rates'!$A:$C,3,FALSE),0)</f>
        <v>0</v>
      </c>
      <c r="F486" s="8" t="str">
        <f>IF(B486="","",D486*E486)</f>
        <v/>
      </c>
      <c r="H486" t="str">
        <f>IF(A486="","",WEEKNUM(A486,1))</f>
        <v/>
      </c>
      <c r="I486" t="str">
        <f>IFERROR(INDEX('Pay Calendar'!$B$2:$B$10,MATCH(H486,'Pay Calendar'!$A$2:$A$10,0)),"")</f>
        <v/>
      </c>
    </row>
    <row r="487" spans="1:9" x14ac:dyDescent="0.2">
      <c r="A487" s="7"/>
      <c r="C487" t="str">
        <f>IFERROR(VLOOKUP(B487,'Commission Rates'!$A:$C,2,FALSE),"")</f>
        <v/>
      </c>
      <c r="E487" s="8">
        <f>IFERROR(VLOOKUP(B487,'Commission Rates'!$A:$C,3,FALSE),0)</f>
        <v>0</v>
      </c>
      <c r="F487" s="8" t="str">
        <f>IF(B487="","",D487*E487)</f>
        <v/>
      </c>
      <c r="H487" t="str">
        <f>IF(A487="","",WEEKNUM(A487,1))</f>
        <v/>
      </c>
      <c r="I487" t="str">
        <f>IFERROR(INDEX('Pay Calendar'!$B$2:$B$10,MATCH(H487,'Pay Calendar'!$A$2:$A$10,0)),"")</f>
        <v/>
      </c>
    </row>
    <row r="488" spans="1:9" x14ac:dyDescent="0.2">
      <c r="A488" s="7"/>
      <c r="C488" t="str">
        <f>IFERROR(VLOOKUP(B488,'Commission Rates'!$A:$C,2,FALSE),"")</f>
        <v/>
      </c>
      <c r="E488" s="8">
        <f>IFERROR(VLOOKUP(B488,'Commission Rates'!$A:$C,3,FALSE),0)</f>
        <v>0</v>
      </c>
      <c r="F488" s="8" t="str">
        <f>IF(B488="","",D488*E488)</f>
        <v/>
      </c>
      <c r="H488" t="str">
        <f>IF(A488="","",WEEKNUM(A488,1))</f>
        <v/>
      </c>
      <c r="I488" t="str">
        <f>IFERROR(INDEX('Pay Calendar'!$B$2:$B$10,MATCH(H488,'Pay Calendar'!$A$2:$A$10,0)),"")</f>
        <v/>
      </c>
    </row>
    <row r="489" spans="1:9" x14ac:dyDescent="0.2">
      <c r="A489" s="7"/>
      <c r="C489" t="str">
        <f>IFERROR(VLOOKUP(B489,'Commission Rates'!$A:$C,2,FALSE),"")</f>
        <v/>
      </c>
      <c r="E489" s="8">
        <f>IFERROR(VLOOKUP(B489,'Commission Rates'!$A:$C,3,FALSE),0)</f>
        <v>0</v>
      </c>
      <c r="F489" s="8" t="str">
        <f>IF(B489="","",D489*E489)</f>
        <v/>
      </c>
      <c r="H489" t="str">
        <f>IF(A489="","",WEEKNUM(A489,1))</f>
        <v/>
      </c>
      <c r="I489" t="str">
        <f>IFERROR(INDEX('Pay Calendar'!$B$2:$B$10,MATCH(H489,'Pay Calendar'!$A$2:$A$10,0)),"")</f>
        <v/>
      </c>
    </row>
    <row r="490" spans="1:9" x14ac:dyDescent="0.2">
      <c r="A490" s="7"/>
      <c r="C490" t="str">
        <f>IFERROR(VLOOKUP(B490,'Commission Rates'!$A:$C,2,FALSE),"")</f>
        <v/>
      </c>
      <c r="E490" s="8">
        <f>IFERROR(VLOOKUP(B490,'Commission Rates'!$A:$C,3,FALSE),0)</f>
        <v>0</v>
      </c>
      <c r="F490" s="8" t="str">
        <f>IF(B490="","",D490*E490)</f>
        <v/>
      </c>
      <c r="H490" t="str">
        <f>IF(A490="","",WEEKNUM(A490,1))</f>
        <v/>
      </c>
      <c r="I490" t="str">
        <f>IFERROR(INDEX('Pay Calendar'!$B$2:$B$10,MATCH(H490,'Pay Calendar'!$A$2:$A$10,0)),"")</f>
        <v/>
      </c>
    </row>
    <row r="491" spans="1:9" x14ac:dyDescent="0.2">
      <c r="A491" s="7"/>
      <c r="C491" t="str">
        <f>IFERROR(VLOOKUP(B491,'Commission Rates'!$A:$C,2,FALSE),"")</f>
        <v/>
      </c>
      <c r="E491" s="8">
        <f>IFERROR(VLOOKUP(B491,'Commission Rates'!$A:$C,3,FALSE),0)</f>
        <v>0</v>
      </c>
      <c r="F491" s="8" t="str">
        <f>IF(B491="","",D491*E491)</f>
        <v/>
      </c>
      <c r="H491" t="str">
        <f>IF(A491="","",WEEKNUM(A491,1))</f>
        <v/>
      </c>
      <c r="I491" t="str">
        <f>IFERROR(INDEX('Pay Calendar'!$B$2:$B$10,MATCH(H491,'Pay Calendar'!$A$2:$A$10,0)),"")</f>
        <v/>
      </c>
    </row>
    <row r="492" spans="1:9" x14ac:dyDescent="0.2">
      <c r="A492" s="7"/>
      <c r="C492" t="str">
        <f>IFERROR(VLOOKUP(B492,'Commission Rates'!$A:$C,2,FALSE),"")</f>
        <v/>
      </c>
      <c r="E492" s="8">
        <f>IFERROR(VLOOKUP(B492,'Commission Rates'!$A:$C,3,FALSE),0)</f>
        <v>0</v>
      </c>
      <c r="F492" s="8" t="str">
        <f>IF(B492="","",D492*E492)</f>
        <v/>
      </c>
      <c r="H492" t="str">
        <f>IF(A492="","",WEEKNUM(A492,1))</f>
        <v/>
      </c>
      <c r="I492" t="str">
        <f>IFERROR(INDEX('Pay Calendar'!$B$2:$B$10,MATCH(H492,'Pay Calendar'!$A$2:$A$10,0)),"")</f>
        <v/>
      </c>
    </row>
    <row r="493" spans="1:9" x14ac:dyDescent="0.2">
      <c r="A493" s="7"/>
      <c r="C493" t="str">
        <f>IFERROR(VLOOKUP(B493,'Commission Rates'!$A:$C,2,FALSE),"")</f>
        <v/>
      </c>
      <c r="E493" s="8">
        <f>IFERROR(VLOOKUP(B493,'Commission Rates'!$A:$C,3,FALSE),0)</f>
        <v>0</v>
      </c>
      <c r="F493" s="8" t="str">
        <f>IF(B493="","",D493*E493)</f>
        <v/>
      </c>
      <c r="H493" t="str">
        <f>IF(A493="","",WEEKNUM(A493,1))</f>
        <v/>
      </c>
      <c r="I493" t="str">
        <f>IFERROR(INDEX('Pay Calendar'!$B$2:$B$10,MATCH(H493,'Pay Calendar'!$A$2:$A$10,0)),"")</f>
        <v/>
      </c>
    </row>
    <row r="494" spans="1:9" x14ac:dyDescent="0.2">
      <c r="A494" s="7"/>
      <c r="C494" t="str">
        <f>IFERROR(VLOOKUP(B494,'Commission Rates'!$A:$C,2,FALSE),"")</f>
        <v/>
      </c>
      <c r="E494" s="8">
        <f>IFERROR(VLOOKUP(B494,'Commission Rates'!$A:$C,3,FALSE),0)</f>
        <v>0</v>
      </c>
      <c r="F494" s="8" t="str">
        <f>IF(B494="","",D494*E494)</f>
        <v/>
      </c>
      <c r="H494" t="str">
        <f>IF(A494="","",WEEKNUM(A494,1))</f>
        <v/>
      </c>
      <c r="I494" t="str">
        <f>IFERROR(INDEX('Pay Calendar'!$B$2:$B$10,MATCH(H494,'Pay Calendar'!$A$2:$A$10,0)),"")</f>
        <v/>
      </c>
    </row>
    <row r="495" spans="1:9" x14ac:dyDescent="0.2">
      <c r="A495" s="7"/>
      <c r="C495" t="str">
        <f>IFERROR(VLOOKUP(B495,'Commission Rates'!$A:$C,2,FALSE),"")</f>
        <v/>
      </c>
      <c r="E495" s="8">
        <f>IFERROR(VLOOKUP(B495,'Commission Rates'!$A:$C,3,FALSE),0)</f>
        <v>0</v>
      </c>
      <c r="F495" s="8" t="str">
        <f>IF(B495="","",D495*E495)</f>
        <v/>
      </c>
      <c r="H495" t="str">
        <f>IF(A495="","",WEEKNUM(A495,1))</f>
        <v/>
      </c>
      <c r="I495" t="str">
        <f>IFERROR(INDEX('Pay Calendar'!$B$2:$B$10,MATCH(H495,'Pay Calendar'!$A$2:$A$10,0)),"")</f>
        <v/>
      </c>
    </row>
    <row r="496" spans="1:9" x14ac:dyDescent="0.2">
      <c r="A496" s="7"/>
      <c r="C496" t="str">
        <f>IFERROR(VLOOKUP(B496,'Commission Rates'!$A:$C,2,FALSE),"")</f>
        <v/>
      </c>
      <c r="E496" s="8">
        <f>IFERROR(VLOOKUP(B496,'Commission Rates'!$A:$C,3,FALSE),0)</f>
        <v>0</v>
      </c>
      <c r="F496" s="8" t="str">
        <f>IF(B496="","",D496*E496)</f>
        <v/>
      </c>
      <c r="H496" t="str">
        <f>IF(A496="","",WEEKNUM(A496,1))</f>
        <v/>
      </c>
      <c r="I496" t="str">
        <f>IFERROR(INDEX('Pay Calendar'!$B$2:$B$10,MATCH(H496,'Pay Calendar'!$A$2:$A$10,0)),"")</f>
        <v/>
      </c>
    </row>
    <row r="497" spans="1:9" x14ac:dyDescent="0.2">
      <c r="A497" s="7"/>
      <c r="C497" t="str">
        <f>IFERROR(VLOOKUP(B497,'Commission Rates'!$A:$C,2,FALSE),"")</f>
        <v/>
      </c>
      <c r="E497" s="8">
        <f>IFERROR(VLOOKUP(B497,'Commission Rates'!$A:$C,3,FALSE),0)</f>
        <v>0</v>
      </c>
      <c r="F497" s="8" t="str">
        <f>IF(B497="","",D497*E497)</f>
        <v/>
      </c>
      <c r="H497" t="str">
        <f>IF(A497="","",WEEKNUM(A497,1))</f>
        <v/>
      </c>
      <c r="I497" t="str">
        <f>IFERROR(INDEX('Pay Calendar'!$B$2:$B$10,MATCH(H497,'Pay Calendar'!$A$2:$A$10,0)),"")</f>
        <v/>
      </c>
    </row>
    <row r="498" spans="1:9" x14ac:dyDescent="0.2">
      <c r="A498" s="7"/>
      <c r="C498" t="str">
        <f>IFERROR(VLOOKUP(B498,'Commission Rates'!$A:$C,2,FALSE),"")</f>
        <v/>
      </c>
      <c r="E498" s="8">
        <f>IFERROR(VLOOKUP(B498,'Commission Rates'!$A:$C,3,FALSE),0)</f>
        <v>0</v>
      </c>
      <c r="F498" s="8" t="str">
        <f>IF(B498="","",D498*E498)</f>
        <v/>
      </c>
      <c r="H498" t="str">
        <f>IF(A498="","",WEEKNUM(A498,1))</f>
        <v/>
      </c>
      <c r="I498" t="str">
        <f>IFERROR(INDEX('Pay Calendar'!$B$2:$B$10,MATCH(H498,'Pay Calendar'!$A$2:$A$10,0)),"")</f>
        <v/>
      </c>
    </row>
    <row r="499" spans="1:9" x14ac:dyDescent="0.2">
      <c r="A499" s="7"/>
      <c r="C499" t="str">
        <f>IFERROR(VLOOKUP(B499,'Commission Rates'!$A:$C,2,FALSE),"")</f>
        <v/>
      </c>
      <c r="E499" s="8">
        <f>IFERROR(VLOOKUP(B499,'Commission Rates'!$A:$C,3,FALSE),0)</f>
        <v>0</v>
      </c>
      <c r="F499" s="8" t="str">
        <f>IF(B499="","",D499*E499)</f>
        <v/>
      </c>
      <c r="H499" t="str">
        <f>IF(A499="","",WEEKNUM(A499,1))</f>
        <v/>
      </c>
      <c r="I499" t="str">
        <f>IFERROR(INDEX('Pay Calendar'!$B$2:$B$10,MATCH(H499,'Pay Calendar'!$A$2:$A$10,0)),"")</f>
        <v/>
      </c>
    </row>
    <row r="500" spans="1:9" x14ac:dyDescent="0.2">
      <c r="A500" s="7"/>
      <c r="C500" t="str">
        <f>IFERROR(VLOOKUP(B500,'Commission Rates'!$A:$C,2,FALSE),"")</f>
        <v/>
      </c>
      <c r="E500" s="8">
        <f>IFERROR(VLOOKUP(B500,'Commission Rates'!$A:$C,3,FALSE),0)</f>
        <v>0</v>
      </c>
      <c r="F500" s="8" t="str">
        <f>IF(B500="","",D500*E500)</f>
        <v/>
      </c>
      <c r="H500" t="str">
        <f>IF(A500="","",WEEKNUM(A500,1))</f>
        <v/>
      </c>
      <c r="I500" t="str">
        <f>IFERROR(INDEX('Pay Calendar'!$B$2:$B$10,MATCH(H500,'Pay Calendar'!$A$2:$A$10,0)),"")</f>
        <v/>
      </c>
    </row>
    <row r="501" spans="1:9" x14ac:dyDescent="0.2">
      <c r="A501" s="7"/>
      <c r="C501" t="str">
        <f>IFERROR(VLOOKUP(B501,'Commission Rates'!$A:$C,2,FALSE),"")</f>
        <v/>
      </c>
      <c r="E501" s="8">
        <f>IFERROR(VLOOKUP(B501,'Commission Rates'!$A:$C,3,FALSE),0)</f>
        <v>0</v>
      </c>
      <c r="F501" s="8" t="str">
        <f>IF(B501="","",D501*E501)</f>
        <v/>
      </c>
      <c r="H501" t="str">
        <f>IF(A501="","",WEEKNUM(A501,1))</f>
        <v/>
      </c>
      <c r="I501" t="str">
        <f>IFERROR(INDEX('Pay Calendar'!$B$2:$B$10,MATCH(H501,'Pay Calendar'!$A$2:$A$10,0)),"")</f>
        <v/>
      </c>
    </row>
    <row r="502" spans="1:9" x14ac:dyDescent="0.2">
      <c r="A502" s="7"/>
      <c r="C502" t="str">
        <f>IFERROR(VLOOKUP(B502,'Commission Rates'!$A:$C,2,FALSE),"")</f>
        <v/>
      </c>
      <c r="E502" s="8">
        <f>IFERROR(VLOOKUP(B502,'Commission Rates'!$A:$C,3,FALSE),0)</f>
        <v>0</v>
      </c>
      <c r="F502" s="8" t="str">
        <f>IF(B502="","",D502*E502)</f>
        <v/>
      </c>
      <c r="H502" t="str">
        <f>IF(A502="","",WEEKNUM(A502,1))</f>
        <v/>
      </c>
      <c r="I502" t="str">
        <f>IFERROR(INDEX('Pay Calendar'!$B$2:$B$10,MATCH(H502,'Pay Calendar'!$A$2:$A$10,0)),"")</f>
        <v/>
      </c>
    </row>
    <row r="503" spans="1:9" x14ac:dyDescent="0.2">
      <c r="A503" s="7"/>
      <c r="C503" t="str">
        <f>IFERROR(VLOOKUP(B503,'Commission Rates'!$A:$C,2,FALSE),"")</f>
        <v/>
      </c>
      <c r="E503" s="8">
        <f>IFERROR(VLOOKUP(B503,'Commission Rates'!$A:$C,3,FALSE),0)</f>
        <v>0</v>
      </c>
      <c r="F503" s="8" t="str">
        <f>IF(B503="","",D503*E503)</f>
        <v/>
      </c>
      <c r="H503" t="str">
        <f>IF(A503="","",WEEKNUM(A503,1))</f>
        <v/>
      </c>
      <c r="I503" t="str">
        <f>IFERROR(INDEX('Pay Calendar'!$B$2:$B$10,MATCH(H503,'Pay Calendar'!$A$2:$A$10,0)),"")</f>
        <v/>
      </c>
    </row>
    <row r="504" spans="1:9" x14ac:dyDescent="0.2">
      <c r="A504" s="7"/>
      <c r="C504" t="str">
        <f>IFERROR(VLOOKUP(B504,'Commission Rates'!$A:$C,2,FALSE),"")</f>
        <v/>
      </c>
      <c r="E504" s="8">
        <f>IFERROR(VLOOKUP(B504,'Commission Rates'!$A:$C,3,FALSE),0)</f>
        <v>0</v>
      </c>
      <c r="F504" s="8" t="str">
        <f>IF(B504="","",D504*E504)</f>
        <v/>
      </c>
      <c r="H504" t="str">
        <f>IF(A504="","",WEEKNUM(A504,1))</f>
        <v/>
      </c>
      <c r="I504" t="str">
        <f>IFERROR(INDEX('Pay Calendar'!$B$2:$B$10,MATCH(H504,'Pay Calendar'!$A$2:$A$10,0)),"")</f>
        <v/>
      </c>
    </row>
    <row r="505" spans="1:9" x14ac:dyDescent="0.2">
      <c r="A505" s="7"/>
      <c r="C505" t="str">
        <f>IFERROR(VLOOKUP(B505,'Commission Rates'!$A:$C,2,FALSE),"")</f>
        <v/>
      </c>
      <c r="E505" s="8">
        <f>IFERROR(VLOOKUP(B505,'Commission Rates'!$A:$C,3,FALSE),0)</f>
        <v>0</v>
      </c>
      <c r="F505" s="8" t="str">
        <f>IF(B505="","",D505*E505)</f>
        <v/>
      </c>
      <c r="H505" t="str">
        <f>IF(A505="","",WEEKNUM(A505,1))</f>
        <v/>
      </c>
      <c r="I505" t="str">
        <f>IFERROR(INDEX('Pay Calendar'!$B$2:$B$10,MATCH(H505,'Pay Calendar'!$A$2:$A$10,0)),"")</f>
        <v/>
      </c>
    </row>
    <row r="506" spans="1:9" x14ac:dyDescent="0.2">
      <c r="A506" s="7"/>
      <c r="C506" t="str">
        <f>IFERROR(VLOOKUP(B506,'Commission Rates'!$A:$C,2,FALSE),"")</f>
        <v/>
      </c>
      <c r="E506" s="8">
        <f>IFERROR(VLOOKUP(B506,'Commission Rates'!$A:$C,3,FALSE),0)</f>
        <v>0</v>
      </c>
      <c r="F506" s="8" t="str">
        <f>IF(B506="","",D506*E506)</f>
        <v/>
      </c>
      <c r="H506" t="str">
        <f>IF(A506="","",WEEKNUM(A506,1))</f>
        <v/>
      </c>
      <c r="I506" t="str">
        <f>IFERROR(INDEX('Pay Calendar'!$B$2:$B$10,MATCH(H506,'Pay Calendar'!$A$2:$A$10,0)),"")</f>
        <v/>
      </c>
    </row>
    <row r="507" spans="1:9" x14ac:dyDescent="0.2">
      <c r="A507" s="7"/>
      <c r="C507" t="str">
        <f>IFERROR(VLOOKUP(B507,'Commission Rates'!$A:$C,2,FALSE),"")</f>
        <v/>
      </c>
      <c r="E507" s="8">
        <f>IFERROR(VLOOKUP(B507,'Commission Rates'!$A:$C,3,FALSE),0)</f>
        <v>0</v>
      </c>
      <c r="F507" s="8" t="str">
        <f>IF(B507="","",D507*E507)</f>
        <v/>
      </c>
      <c r="H507" t="str">
        <f>IF(A507="","",WEEKNUM(A507,1))</f>
        <v/>
      </c>
      <c r="I507" t="str">
        <f>IFERROR(INDEX('Pay Calendar'!$B$2:$B$10,MATCH(H507,'Pay Calendar'!$A$2:$A$10,0)),"")</f>
        <v/>
      </c>
    </row>
    <row r="508" spans="1:9" x14ac:dyDescent="0.2">
      <c r="A508" s="7"/>
      <c r="C508" t="str">
        <f>IFERROR(VLOOKUP(B508,'Commission Rates'!$A:$C,2,FALSE),"")</f>
        <v/>
      </c>
      <c r="E508" s="8">
        <f>IFERROR(VLOOKUP(B508,'Commission Rates'!$A:$C,3,FALSE),0)</f>
        <v>0</v>
      </c>
      <c r="F508" s="8" t="str">
        <f>IF(B508="","",D508*E508)</f>
        <v/>
      </c>
      <c r="H508" t="str">
        <f>IF(A508="","",WEEKNUM(A508,1))</f>
        <v/>
      </c>
      <c r="I508" t="str">
        <f>IFERROR(INDEX('Pay Calendar'!$B$2:$B$10,MATCH(H508,'Pay Calendar'!$A$2:$A$10,0)),"")</f>
        <v/>
      </c>
    </row>
    <row r="509" spans="1:9" x14ac:dyDescent="0.2">
      <c r="A509" s="7"/>
      <c r="C509" t="str">
        <f>IFERROR(VLOOKUP(B509,'Commission Rates'!$A:$C,2,FALSE),"")</f>
        <v/>
      </c>
      <c r="E509" s="8">
        <f>IFERROR(VLOOKUP(B509,'Commission Rates'!$A:$C,3,FALSE),0)</f>
        <v>0</v>
      </c>
      <c r="F509" s="8" t="str">
        <f>IF(B509="","",D509*E509)</f>
        <v/>
      </c>
      <c r="H509" t="str">
        <f>IF(A509="","",WEEKNUM(A509,1))</f>
        <v/>
      </c>
      <c r="I509" t="str">
        <f>IFERROR(INDEX('Pay Calendar'!$B$2:$B$10,MATCH(H509,'Pay Calendar'!$A$2:$A$10,0)),"")</f>
        <v/>
      </c>
    </row>
    <row r="510" spans="1:9" x14ac:dyDescent="0.2">
      <c r="A510" s="7"/>
      <c r="C510" t="str">
        <f>IFERROR(VLOOKUP(B510,'Commission Rates'!$A:$C,2,FALSE),"")</f>
        <v/>
      </c>
      <c r="E510" s="8">
        <f>IFERROR(VLOOKUP(B510,'Commission Rates'!$A:$C,3,FALSE),0)</f>
        <v>0</v>
      </c>
      <c r="F510" s="8" t="str">
        <f>IF(B510="","",D510*E510)</f>
        <v/>
      </c>
      <c r="H510" t="str">
        <f>IF(A510="","",WEEKNUM(A510,1))</f>
        <v/>
      </c>
      <c r="I510" t="str">
        <f>IFERROR(INDEX('Pay Calendar'!$B$2:$B$10,MATCH(H510,'Pay Calendar'!$A$2:$A$10,0)),"")</f>
        <v/>
      </c>
    </row>
    <row r="511" spans="1:9" x14ac:dyDescent="0.2">
      <c r="A511" s="7"/>
      <c r="C511" t="str">
        <f>IFERROR(VLOOKUP(B511,'Commission Rates'!$A:$C,2,FALSE),"")</f>
        <v/>
      </c>
      <c r="E511" s="8">
        <f>IFERROR(VLOOKUP(B511,'Commission Rates'!$A:$C,3,FALSE),0)</f>
        <v>0</v>
      </c>
      <c r="F511" s="8" t="str">
        <f>IF(B511="","",D511*E511)</f>
        <v/>
      </c>
      <c r="H511" t="str">
        <f>IF(A511="","",WEEKNUM(A511,1))</f>
        <v/>
      </c>
      <c r="I511" t="str">
        <f>IFERROR(INDEX('Pay Calendar'!$B$2:$B$10,MATCH(H511,'Pay Calendar'!$A$2:$A$10,0)),"")</f>
        <v/>
      </c>
    </row>
    <row r="512" spans="1:9" x14ac:dyDescent="0.2">
      <c r="A512" s="7"/>
      <c r="C512" t="str">
        <f>IFERROR(VLOOKUP(B512,'Commission Rates'!$A:$C,2,FALSE),"")</f>
        <v/>
      </c>
      <c r="E512" s="8">
        <f>IFERROR(VLOOKUP(B512,'Commission Rates'!$A:$C,3,FALSE),0)</f>
        <v>0</v>
      </c>
      <c r="F512" s="8" t="str">
        <f>IF(B512="","",D512*E512)</f>
        <v/>
      </c>
      <c r="H512" t="str">
        <f>IF(A512="","",WEEKNUM(A512,1))</f>
        <v/>
      </c>
      <c r="I512" t="str">
        <f>IFERROR(INDEX('Pay Calendar'!$B$2:$B$10,MATCH(H512,'Pay Calendar'!$A$2:$A$10,0)),"")</f>
        <v/>
      </c>
    </row>
    <row r="513" spans="1:9" x14ac:dyDescent="0.2">
      <c r="A513" s="7"/>
      <c r="C513" t="str">
        <f>IFERROR(VLOOKUP(B513,'Commission Rates'!$A:$C,2,FALSE),"")</f>
        <v/>
      </c>
      <c r="E513" s="8">
        <f>IFERROR(VLOOKUP(B513,'Commission Rates'!$A:$C,3,FALSE),0)</f>
        <v>0</v>
      </c>
      <c r="F513" s="8" t="str">
        <f>IF(B513="","",D513*E513)</f>
        <v/>
      </c>
      <c r="H513" t="str">
        <f>IF(A513="","",WEEKNUM(A513,1))</f>
        <v/>
      </c>
      <c r="I513" t="str">
        <f>IFERROR(INDEX('Pay Calendar'!$B$2:$B$10,MATCH(H513,'Pay Calendar'!$A$2:$A$10,0)),"")</f>
        <v/>
      </c>
    </row>
    <row r="514" spans="1:9" x14ac:dyDescent="0.2">
      <c r="A514" s="7"/>
      <c r="C514" t="str">
        <f>IFERROR(VLOOKUP(B514,'Commission Rates'!$A:$C,2,FALSE),"")</f>
        <v/>
      </c>
      <c r="E514" s="8">
        <f>IFERROR(VLOOKUP(B514,'Commission Rates'!$A:$C,3,FALSE),0)</f>
        <v>0</v>
      </c>
      <c r="F514" s="8" t="str">
        <f>IF(B514="","",D514*E514)</f>
        <v/>
      </c>
      <c r="H514" t="str">
        <f>IF(A514="","",WEEKNUM(A514,1))</f>
        <v/>
      </c>
      <c r="I514" t="str">
        <f>IFERROR(INDEX('Pay Calendar'!$B$2:$B$10,MATCH(H514,'Pay Calendar'!$A$2:$A$10,0)),"")</f>
        <v/>
      </c>
    </row>
    <row r="515" spans="1:9" x14ac:dyDescent="0.2">
      <c r="A515" s="7"/>
      <c r="C515" t="str">
        <f>IFERROR(VLOOKUP(B515,'Commission Rates'!$A:$C,2,FALSE),"")</f>
        <v/>
      </c>
      <c r="E515" s="8">
        <f>IFERROR(VLOOKUP(B515,'Commission Rates'!$A:$C,3,FALSE),0)</f>
        <v>0</v>
      </c>
      <c r="F515" s="8" t="str">
        <f>IF(B515="","",D515*E515)</f>
        <v/>
      </c>
      <c r="H515" t="str">
        <f>IF(A515="","",WEEKNUM(A515,1))</f>
        <v/>
      </c>
      <c r="I515" t="str">
        <f>IFERROR(INDEX('Pay Calendar'!$B$2:$B$10,MATCH(H515,'Pay Calendar'!$A$2:$A$10,0)),"")</f>
        <v/>
      </c>
    </row>
    <row r="516" spans="1:9" x14ac:dyDescent="0.2">
      <c r="A516" s="7"/>
      <c r="C516" t="str">
        <f>IFERROR(VLOOKUP(B516,'Commission Rates'!$A:$C,2,FALSE),"")</f>
        <v/>
      </c>
      <c r="E516" s="8">
        <f>IFERROR(VLOOKUP(B516,'Commission Rates'!$A:$C,3,FALSE),0)</f>
        <v>0</v>
      </c>
      <c r="F516" s="8" t="str">
        <f>IF(B516="","",D516*E516)</f>
        <v/>
      </c>
      <c r="H516" t="str">
        <f>IF(A516="","",WEEKNUM(A516,1))</f>
        <v/>
      </c>
      <c r="I516" t="str">
        <f>IFERROR(INDEX('Pay Calendar'!$B$2:$B$10,MATCH(H516,'Pay Calendar'!$A$2:$A$10,0)),"")</f>
        <v/>
      </c>
    </row>
    <row r="517" spans="1:9" x14ac:dyDescent="0.2">
      <c r="A517" s="7"/>
      <c r="C517" t="str">
        <f>IFERROR(VLOOKUP(B517,'Commission Rates'!$A:$C,2,FALSE),"")</f>
        <v/>
      </c>
      <c r="E517" s="8">
        <f>IFERROR(VLOOKUP(B517,'Commission Rates'!$A:$C,3,FALSE),0)</f>
        <v>0</v>
      </c>
      <c r="F517" s="8" t="str">
        <f>IF(B517="","",D517*E517)</f>
        <v/>
      </c>
      <c r="H517" t="str">
        <f>IF(A517="","",WEEKNUM(A517,1))</f>
        <v/>
      </c>
      <c r="I517" t="str">
        <f>IFERROR(INDEX('Pay Calendar'!$B$2:$B$10,MATCH(H517,'Pay Calendar'!$A$2:$A$10,0)),"")</f>
        <v/>
      </c>
    </row>
    <row r="518" spans="1:9" x14ac:dyDescent="0.2">
      <c r="A518" s="7"/>
      <c r="C518" t="str">
        <f>IFERROR(VLOOKUP(B518,'Commission Rates'!$A:$C,2,FALSE),"")</f>
        <v/>
      </c>
      <c r="E518" s="8">
        <f>IFERROR(VLOOKUP(B518,'Commission Rates'!$A:$C,3,FALSE),0)</f>
        <v>0</v>
      </c>
      <c r="F518" s="8" t="str">
        <f>IF(B518="","",D518*E518)</f>
        <v/>
      </c>
      <c r="H518" t="str">
        <f>IF(A518="","",WEEKNUM(A518,1))</f>
        <v/>
      </c>
      <c r="I518" t="str">
        <f>IFERROR(INDEX('Pay Calendar'!$B$2:$B$10,MATCH(H518,'Pay Calendar'!$A$2:$A$10,0)),"")</f>
        <v/>
      </c>
    </row>
    <row r="519" spans="1:9" x14ac:dyDescent="0.2">
      <c r="A519" s="7"/>
      <c r="C519" t="str">
        <f>IFERROR(VLOOKUP(B519,'Commission Rates'!$A:$C,2,FALSE),"")</f>
        <v/>
      </c>
      <c r="E519" s="8">
        <f>IFERROR(VLOOKUP(B519,'Commission Rates'!$A:$C,3,FALSE),0)</f>
        <v>0</v>
      </c>
      <c r="F519" s="8" t="str">
        <f>IF(B519="","",D519*E519)</f>
        <v/>
      </c>
      <c r="H519" t="str">
        <f>IF(A519="","",WEEKNUM(A519,1))</f>
        <v/>
      </c>
      <c r="I519" t="str">
        <f>IFERROR(INDEX('Pay Calendar'!$B$2:$B$10,MATCH(H519,'Pay Calendar'!$A$2:$A$10,0)),"")</f>
        <v/>
      </c>
    </row>
    <row r="520" spans="1:9" x14ac:dyDescent="0.2">
      <c r="A520" s="7"/>
      <c r="C520" t="str">
        <f>IFERROR(VLOOKUP(B520,'Commission Rates'!$A:$C,2,FALSE),"")</f>
        <v/>
      </c>
      <c r="E520" s="8">
        <f>IFERROR(VLOOKUP(B520,'Commission Rates'!$A:$C,3,FALSE),0)</f>
        <v>0</v>
      </c>
      <c r="F520" s="8" t="str">
        <f>IF(B520="","",D520*E520)</f>
        <v/>
      </c>
      <c r="H520" t="str">
        <f>IF(A520="","",WEEKNUM(A520,1))</f>
        <v/>
      </c>
      <c r="I520" t="str">
        <f>IFERROR(INDEX('Pay Calendar'!$B$2:$B$10,MATCH(H520,'Pay Calendar'!$A$2:$A$10,0)),"")</f>
        <v/>
      </c>
    </row>
    <row r="521" spans="1:9" x14ac:dyDescent="0.2">
      <c r="A521" s="7"/>
      <c r="C521" t="str">
        <f>IFERROR(VLOOKUP(B521,'Commission Rates'!$A:$C,2,FALSE),"")</f>
        <v/>
      </c>
      <c r="E521" s="8">
        <f>IFERROR(VLOOKUP(B521,'Commission Rates'!$A:$C,3,FALSE),0)</f>
        <v>0</v>
      </c>
      <c r="F521" s="8" t="str">
        <f>IF(B521="","",D521*E521)</f>
        <v/>
      </c>
      <c r="H521" t="str">
        <f>IF(A521="","",WEEKNUM(A521,1))</f>
        <v/>
      </c>
      <c r="I521" t="str">
        <f>IFERROR(INDEX('Pay Calendar'!$B$2:$B$10,MATCH(H521,'Pay Calendar'!$A$2:$A$10,0)),"")</f>
        <v/>
      </c>
    </row>
    <row r="522" spans="1:9" x14ac:dyDescent="0.2">
      <c r="A522" s="7"/>
      <c r="C522" t="str">
        <f>IFERROR(VLOOKUP(B522,'Commission Rates'!$A:$C,2,FALSE),"")</f>
        <v/>
      </c>
      <c r="E522" s="8">
        <f>IFERROR(VLOOKUP(B522,'Commission Rates'!$A:$C,3,FALSE),0)</f>
        <v>0</v>
      </c>
      <c r="F522" s="8" t="str">
        <f>IF(B522="","",D522*E522)</f>
        <v/>
      </c>
      <c r="H522" t="str">
        <f>IF(A522="","",WEEKNUM(A522,1))</f>
        <v/>
      </c>
      <c r="I522" t="str">
        <f>IFERROR(INDEX('Pay Calendar'!$B$2:$B$10,MATCH(H522,'Pay Calendar'!$A$2:$A$10,0)),"")</f>
        <v/>
      </c>
    </row>
    <row r="523" spans="1:9" x14ac:dyDescent="0.2">
      <c r="A523" s="7"/>
      <c r="C523" t="str">
        <f>IFERROR(VLOOKUP(B523,'Commission Rates'!$A:$C,2,FALSE),"")</f>
        <v/>
      </c>
      <c r="E523" s="8">
        <f>IFERROR(VLOOKUP(B523,'Commission Rates'!$A:$C,3,FALSE),0)</f>
        <v>0</v>
      </c>
      <c r="F523" s="8" t="str">
        <f>IF(B523="","",D523*E523)</f>
        <v/>
      </c>
      <c r="H523" t="str">
        <f>IF(A523="","",WEEKNUM(A523,1))</f>
        <v/>
      </c>
      <c r="I523" t="str">
        <f>IFERROR(INDEX('Pay Calendar'!$B$2:$B$10,MATCH(H523,'Pay Calendar'!$A$2:$A$10,0)),"")</f>
        <v/>
      </c>
    </row>
    <row r="524" spans="1:9" x14ac:dyDescent="0.2">
      <c r="A524" s="7"/>
      <c r="C524" t="str">
        <f>IFERROR(VLOOKUP(B524,'Commission Rates'!$A:$C,2,FALSE),"")</f>
        <v/>
      </c>
      <c r="E524" s="8">
        <f>IFERROR(VLOOKUP(B524,'Commission Rates'!$A:$C,3,FALSE),0)</f>
        <v>0</v>
      </c>
      <c r="F524" s="8" t="str">
        <f>IF(B524="","",D524*E524)</f>
        <v/>
      </c>
      <c r="H524" t="str">
        <f>IF(A524="","",WEEKNUM(A524,1))</f>
        <v/>
      </c>
      <c r="I524" t="str">
        <f>IFERROR(INDEX('Pay Calendar'!$B$2:$B$10,MATCH(H524,'Pay Calendar'!$A$2:$A$10,0)),"")</f>
        <v/>
      </c>
    </row>
    <row r="525" spans="1:9" x14ac:dyDescent="0.2">
      <c r="A525" s="7"/>
      <c r="C525" t="str">
        <f>IFERROR(VLOOKUP(B525,'Commission Rates'!$A:$C,2,FALSE),"")</f>
        <v/>
      </c>
      <c r="E525" s="8">
        <f>IFERROR(VLOOKUP(B525,'Commission Rates'!$A:$C,3,FALSE),0)</f>
        <v>0</v>
      </c>
      <c r="F525" s="8" t="str">
        <f>IF(B525="","",D525*E525)</f>
        <v/>
      </c>
      <c r="H525" t="str">
        <f>IF(A525="","",WEEKNUM(A525,1))</f>
        <v/>
      </c>
      <c r="I525" t="str">
        <f>IFERROR(INDEX('Pay Calendar'!$B$2:$B$10,MATCH(H525,'Pay Calendar'!$A$2:$A$10,0)),"")</f>
        <v/>
      </c>
    </row>
    <row r="526" spans="1:9" x14ac:dyDescent="0.2">
      <c r="A526" s="7"/>
      <c r="C526" t="str">
        <f>IFERROR(VLOOKUP(B526,'Commission Rates'!$A:$C,2,FALSE),"")</f>
        <v/>
      </c>
      <c r="E526" s="8">
        <f>IFERROR(VLOOKUP(B526,'Commission Rates'!$A:$C,3,FALSE),0)</f>
        <v>0</v>
      </c>
      <c r="F526" s="8" t="str">
        <f>IF(B526="","",D526*E526)</f>
        <v/>
      </c>
      <c r="H526" t="str">
        <f>IF(A526="","",WEEKNUM(A526,1))</f>
        <v/>
      </c>
      <c r="I526" t="str">
        <f>IFERROR(INDEX('Pay Calendar'!$B$2:$B$10,MATCH(H526,'Pay Calendar'!$A$2:$A$10,0)),"")</f>
        <v/>
      </c>
    </row>
    <row r="527" spans="1:9" x14ac:dyDescent="0.2">
      <c r="A527" s="7"/>
      <c r="C527" t="str">
        <f>IFERROR(VLOOKUP(B527,'Commission Rates'!$A:$C,2,FALSE),"")</f>
        <v/>
      </c>
      <c r="E527" s="8">
        <f>IFERROR(VLOOKUP(B527,'Commission Rates'!$A:$C,3,FALSE),0)</f>
        <v>0</v>
      </c>
      <c r="F527" s="8" t="str">
        <f>IF(B527="","",D527*E527)</f>
        <v/>
      </c>
      <c r="H527" t="str">
        <f>IF(A527="","",WEEKNUM(A527,1))</f>
        <v/>
      </c>
      <c r="I527" t="str">
        <f>IFERROR(INDEX('Pay Calendar'!$B$2:$B$10,MATCH(H527,'Pay Calendar'!$A$2:$A$10,0)),"")</f>
        <v/>
      </c>
    </row>
    <row r="528" spans="1:9" x14ac:dyDescent="0.2">
      <c r="A528" s="7"/>
      <c r="C528" t="str">
        <f>IFERROR(VLOOKUP(B528,'Commission Rates'!$A:$C,2,FALSE),"")</f>
        <v/>
      </c>
      <c r="E528" s="8">
        <f>IFERROR(VLOOKUP(B528,'Commission Rates'!$A:$C,3,FALSE),0)</f>
        <v>0</v>
      </c>
      <c r="F528" s="8" t="str">
        <f>IF(B528="","",D528*E528)</f>
        <v/>
      </c>
      <c r="H528" t="str">
        <f>IF(A528="","",WEEKNUM(A528,1))</f>
        <v/>
      </c>
      <c r="I528" t="str">
        <f>IFERROR(INDEX('Pay Calendar'!$B$2:$B$10,MATCH(H528,'Pay Calendar'!$A$2:$A$10,0)),"")</f>
        <v/>
      </c>
    </row>
    <row r="529" spans="1:9" x14ac:dyDescent="0.2">
      <c r="A529" s="7"/>
      <c r="C529" t="str">
        <f>IFERROR(VLOOKUP(B529,'Commission Rates'!$A:$C,2,FALSE),"")</f>
        <v/>
      </c>
      <c r="E529" s="8">
        <f>IFERROR(VLOOKUP(B529,'Commission Rates'!$A:$C,3,FALSE),0)</f>
        <v>0</v>
      </c>
      <c r="F529" s="8" t="str">
        <f>IF(B529="","",D529*E529)</f>
        <v/>
      </c>
      <c r="H529" t="str">
        <f>IF(A529="","",WEEKNUM(A529,1))</f>
        <v/>
      </c>
      <c r="I529" t="str">
        <f>IFERROR(INDEX('Pay Calendar'!$B$2:$B$10,MATCH(H529,'Pay Calendar'!$A$2:$A$10,0)),"")</f>
        <v/>
      </c>
    </row>
    <row r="530" spans="1:9" x14ac:dyDescent="0.2">
      <c r="A530" s="7"/>
      <c r="C530" t="str">
        <f>IFERROR(VLOOKUP(B530,'Commission Rates'!$A:$C,2,FALSE),"")</f>
        <v/>
      </c>
      <c r="E530" s="8">
        <f>IFERROR(VLOOKUP(B530,'Commission Rates'!$A:$C,3,FALSE),0)</f>
        <v>0</v>
      </c>
      <c r="F530" s="8" t="str">
        <f>IF(B530="","",D530*E530)</f>
        <v/>
      </c>
      <c r="H530" t="str">
        <f>IF(A530="","",WEEKNUM(A530,1))</f>
        <v/>
      </c>
      <c r="I530" t="str">
        <f>IFERROR(INDEX('Pay Calendar'!$B$2:$B$10,MATCH(H530,'Pay Calendar'!$A$2:$A$10,0)),"")</f>
        <v/>
      </c>
    </row>
    <row r="531" spans="1:9" x14ac:dyDescent="0.2">
      <c r="A531" s="7"/>
      <c r="C531" t="str">
        <f>IFERROR(VLOOKUP(B531,'Commission Rates'!$A:$C,2,FALSE),"")</f>
        <v/>
      </c>
      <c r="E531" s="8">
        <f>IFERROR(VLOOKUP(B531,'Commission Rates'!$A:$C,3,FALSE),0)</f>
        <v>0</v>
      </c>
      <c r="F531" s="8" t="str">
        <f>IF(B531="","",D531*E531)</f>
        <v/>
      </c>
      <c r="H531" t="str">
        <f>IF(A531="","",WEEKNUM(A531,1))</f>
        <v/>
      </c>
      <c r="I531" t="str">
        <f>IFERROR(INDEX('Pay Calendar'!$B$2:$B$10,MATCH(H531,'Pay Calendar'!$A$2:$A$10,0)),"")</f>
        <v/>
      </c>
    </row>
    <row r="532" spans="1:9" x14ac:dyDescent="0.2">
      <c r="A532" s="7"/>
      <c r="C532" t="str">
        <f>IFERROR(VLOOKUP(B532,'Commission Rates'!$A:$C,2,FALSE),"")</f>
        <v/>
      </c>
      <c r="E532" s="8">
        <f>IFERROR(VLOOKUP(B532,'Commission Rates'!$A:$C,3,FALSE),0)</f>
        <v>0</v>
      </c>
      <c r="F532" s="8" t="str">
        <f>IF(B532="","",D532*E532)</f>
        <v/>
      </c>
      <c r="H532" t="str">
        <f>IF(A532="","",WEEKNUM(A532,1))</f>
        <v/>
      </c>
      <c r="I532" t="str">
        <f>IFERROR(INDEX('Pay Calendar'!$B$2:$B$10,MATCH(H532,'Pay Calendar'!$A$2:$A$10,0)),"")</f>
        <v/>
      </c>
    </row>
    <row r="533" spans="1:9" x14ac:dyDescent="0.2">
      <c r="A533" s="7"/>
      <c r="C533" t="str">
        <f>IFERROR(VLOOKUP(B533,'Commission Rates'!$A:$C,2,FALSE),"")</f>
        <v/>
      </c>
      <c r="E533" s="8">
        <f>IFERROR(VLOOKUP(B533,'Commission Rates'!$A:$C,3,FALSE),0)</f>
        <v>0</v>
      </c>
      <c r="F533" s="8" t="str">
        <f>IF(B533="","",D533*E533)</f>
        <v/>
      </c>
      <c r="H533" t="str">
        <f>IF(A533="","",WEEKNUM(A533,1))</f>
        <v/>
      </c>
      <c r="I533" t="str">
        <f>IFERROR(INDEX('Pay Calendar'!$B$2:$B$10,MATCH(H533,'Pay Calendar'!$A$2:$A$10,0)),"")</f>
        <v/>
      </c>
    </row>
    <row r="534" spans="1:9" x14ac:dyDescent="0.2">
      <c r="A534" s="7"/>
      <c r="C534" t="str">
        <f>IFERROR(VLOOKUP(B534,'Commission Rates'!$A:$C,2,FALSE),"")</f>
        <v/>
      </c>
      <c r="E534" s="8">
        <f>IFERROR(VLOOKUP(B534,'Commission Rates'!$A:$C,3,FALSE),0)</f>
        <v>0</v>
      </c>
      <c r="F534" s="8" t="str">
        <f>IF(B534="","",D534*E534)</f>
        <v/>
      </c>
      <c r="H534" t="str">
        <f>IF(A534="","",WEEKNUM(A534,1))</f>
        <v/>
      </c>
      <c r="I534" t="str">
        <f>IFERROR(INDEX('Pay Calendar'!$B$2:$B$10,MATCH(H534,'Pay Calendar'!$A$2:$A$10,0)),"")</f>
        <v/>
      </c>
    </row>
    <row r="535" spans="1:9" x14ac:dyDescent="0.2">
      <c r="A535" s="7"/>
      <c r="C535" t="str">
        <f>IFERROR(VLOOKUP(B535,'Commission Rates'!$A:$C,2,FALSE),"")</f>
        <v/>
      </c>
      <c r="E535" s="8">
        <f>IFERROR(VLOOKUP(B535,'Commission Rates'!$A:$C,3,FALSE),0)</f>
        <v>0</v>
      </c>
      <c r="F535" s="8" t="str">
        <f>IF(B535="","",D535*E535)</f>
        <v/>
      </c>
      <c r="H535" t="str">
        <f>IF(A535="","",WEEKNUM(A535,1))</f>
        <v/>
      </c>
      <c r="I535" t="str">
        <f>IFERROR(INDEX('Pay Calendar'!$B$2:$B$10,MATCH(H535,'Pay Calendar'!$A$2:$A$10,0)),"")</f>
        <v/>
      </c>
    </row>
    <row r="536" spans="1:9" x14ac:dyDescent="0.2">
      <c r="A536" s="7"/>
      <c r="C536" t="str">
        <f>IFERROR(VLOOKUP(B536,'Commission Rates'!$A:$C,2,FALSE),"")</f>
        <v/>
      </c>
      <c r="E536" s="8">
        <f>IFERROR(VLOOKUP(B536,'Commission Rates'!$A:$C,3,FALSE),0)</f>
        <v>0</v>
      </c>
      <c r="F536" s="8" t="str">
        <f>IF(B536="","",D536*E536)</f>
        <v/>
      </c>
      <c r="H536" t="str">
        <f>IF(A536="","",WEEKNUM(A536,1))</f>
        <v/>
      </c>
      <c r="I536" t="str">
        <f>IFERROR(INDEX('Pay Calendar'!$B$2:$B$10,MATCH(H536,'Pay Calendar'!$A$2:$A$10,0)),"")</f>
        <v/>
      </c>
    </row>
    <row r="537" spans="1:9" x14ac:dyDescent="0.2">
      <c r="A537" s="7"/>
      <c r="C537" t="str">
        <f>IFERROR(VLOOKUP(B537,'Commission Rates'!$A:$C,2,FALSE),"")</f>
        <v/>
      </c>
      <c r="E537" s="8">
        <f>IFERROR(VLOOKUP(B537,'Commission Rates'!$A:$C,3,FALSE),0)</f>
        <v>0</v>
      </c>
      <c r="F537" s="8" t="str">
        <f>IF(B537="","",D537*E537)</f>
        <v/>
      </c>
      <c r="H537" t="str">
        <f>IF(A537="","",WEEKNUM(A537,1))</f>
        <v/>
      </c>
      <c r="I537" t="str">
        <f>IFERROR(INDEX('Pay Calendar'!$B$2:$B$10,MATCH(H537,'Pay Calendar'!$A$2:$A$10,0)),"")</f>
        <v/>
      </c>
    </row>
    <row r="538" spans="1:9" x14ac:dyDescent="0.2">
      <c r="A538" s="7"/>
      <c r="C538" t="str">
        <f>IFERROR(VLOOKUP(B538,'Commission Rates'!$A:$C,2,FALSE),"")</f>
        <v/>
      </c>
      <c r="E538" s="8">
        <f>IFERROR(VLOOKUP(B538,'Commission Rates'!$A:$C,3,FALSE),0)</f>
        <v>0</v>
      </c>
      <c r="F538" s="8" t="str">
        <f>IF(B538="","",D538*E538)</f>
        <v/>
      </c>
      <c r="H538" t="str">
        <f>IF(A538="","",WEEKNUM(A538,1))</f>
        <v/>
      </c>
      <c r="I538" t="str">
        <f>IFERROR(INDEX('Pay Calendar'!$B$2:$B$10,MATCH(H538,'Pay Calendar'!$A$2:$A$10,0)),"")</f>
        <v/>
      </c>
    </row>
    <row r="539" spans="1:9" x14ac:dyDescent="0.2">
      <c r="A539" s="7"/>
      <c r="C539" t="str">
        <f>IFERROR(VLOOKUP(B539,'Commission Rates'!$A:$C,2,FALSE),"")</f>
        <v/>
      </c>
      <c r="E539" s="8">
        <f>IFERROR(VLOOKUP(B539,'Commission Rates'!$A:$C,3,FALSE),0)</f>
        <v>0</v>
      </c>
      <c r="F539" s="8" t="str">
        <f>IF(B539="","",D539*E539)</f>
        <v/>
      </c>
      <c r="H539" t="str">
        <f>IF(A539="","",WEEKNUM(A539,1))</f>
        <v/>
      </c>
      <c r="I539" t="str">
        <f>IFERROR(INDEX('Pay Calendar'!$B$2:$B$10,MATCH(H539,'Pay Calendar'!$A$2:$A$10,0)),"")</f>
        <v/>
      </c>
    </row>
    <row r="540" spans="1:9" x14ac:dyDescent="0.2">
      <c r="A540" s="7"/>
      <c r="C540" t="str">
        <f>IFERROR(VLOOKUP(B540,'Commission Rates'!$A:$C,2,FALSE),"")</f>
        <v/>
      </c>
      <c r="E540" s="8">
        <f>IFERROR(VLOOKUP(B540,'Commission Rates'!$A:$C,3,FALSE),0)</f>
        <v>0</v>
      </c>
      <c r="F540" s="8" t="str">
        <f>IF(B540="","",D540*E540)</f>
        <v/>
      </c>
      <c r="H540" t="str">
        <f>IF(A540="","",WEEKNUM(A540,1))</f>
        <v/>
      </c>
      <c r="I540" t="str">
        <f>IFERROR(INDEX('Pay Calendar'!$B$2:$B$10,MATCH(H540,'Pay Calendar'!$A$2:$A$10,0)),"")</f>
        <v/>
      </c>
    </row>
    <row r="541" spans="1:9" x14ac:dyDescent="0.2">
      <c r="A541" s="7"/>
      <c r="C541" t="str">
        <f>IFERROR(VLOOKUP(B541,'Commission Rates'!$A:$C,2,FALSE),"")</f>
        <v/>
      </c>
      <c r="E541" s="8">
        <f>IFERROR(VLOOKUP(B541,'Commission Rates'!$A:$C,3,FALSE),0)</f>
        <v>0</v>
      </c>
      <c r="F541" s="8" t="str">
        <f>IF(B541="","",D541*E541)</f>
        <v/>
      </c>
      <c r="H541" t="str">
        <f>IF(A541="","",WEEKNUM(A541,1))</f>
        <v/>
      </c>
      <c r="I541" t="str">
        <f>IFERROR(INDEX('Pay Calendar'!$B$2:$B$10,MATCH(H541,'Pay Calendar'!$A$2:$A$10,0)),"")</f>
        <v/>
      </c>
    </row>
    <row r="542" spans="1:9" x14ac:dyDescent="0.2">
      <c r="A542" s="7"/>
      <c r="C542" t="str">
        <f>IFERROR(VLOOKUP(B542,'Commission Rates'!$A:$C,2,FALSE),"")</f>
        <v/>
      </c>
      <c r="E542" s="8">
        <f>IFERROR(VLOOKUP(B542,'Commission Rates'!$A:$C,3,FALSE),0)</f>
        <v>0</v>
      </c>
      <c r="F542" s="8" t="str">
        <f>IF(B542="","",D542*E542)</f>
        <v/>
      </c>
      <c r="H542" t="str">
        <f>IF(A542="","",WEEKNUM(A542,1))</f>
        <v/>
      </c>
      <c r="I542" t="str">
        <f>IFERROR(INDEX('Pay Calendar'!$B$2:$B$10,MATCH(H542,'Pay Calendar'!$A$2:$A$10,0)),"")</f>
        <v/>
      </c>
    </row>
    <row r="543" spans="1:9" x14ac:dyDescent="0.2">
      <c r="A543" s="7"/>
      <c r="C543" t="str">
        <f>IFERROR(VLOOKUP(B543,'Commission Rates'!$A:$C,2,FALSE),"")</f>
        <v/>
      </c>
      <c r="E543" s="8">
        <f>IFERROR(VLOOKUP(B543,'Commission Rates'!$A:$C,3,FALSE),0)</f>
        <v>0</v>
      </c>
      <c r="F543" s="8" t="str">
        <f>IF(B543="","",D543*E543)</f>
        <v/>
      </c>
      <c r="H543" t="str">
        <f>IF(A543="","",WEEKNUM(A543,1))</f>
        <v/>
      </c>
      <c r="I543" t="str">
        <f>IFERROR(INDEX('Pay Calendar'!$B$2:$B$10,MATCH(H543,'Pay Calendar'!$A$2:$A$10,0)),"")</f>
        <v/>
      </c>
    </row>
    <row r="544" spans="1:9" x14ac:dyDescent="0.2">
      <c r="A544" s="7"/>
      <c r="C544" t="str">
        <f>IFERROR(VLOOKUP(B544,'Commission Rates'!$A:$C,2,FALSE),"")</f>
        <v/>
      </c>
      <c r="E544" s="8">
        <f>IFERROR(VLOOKUP(B544,'Commission Rates'!$A:$C,3,FALSE),0)</f>
        <v>0</v>
      </c>
      <c r="F544" s="8" t="str">
        <f>IF(B544="","",D544*E544)</f>
        <v/>
      </c>
      <c r="H544" t="str">
        <f>IF(A544="","",WEEKNUM(A544,1))</f>
        <v/>
      </c>
      <c r="I544" t="str">
        <f>IFERROR(INDEX('Pay Calendar'!$B$2:$B$10,MATCH(H544,'Pay Calendar'!$A$2:$A$10,0)),"")</f>
        <v/>
      </c>
    </row>
    <row r="545" spans="1:9" x14ac:dyDescent="0.2">
      <c r="A545" s="7"/>
      <c r="C545" t="str">
        <f>IFERROR(VLOOKUP(B545,'Commission Rates'!$A:$C,2,FALSE),"")</f>
        <v/>
      </c>
      <c r="E545" s="8">
        <f>IFERROR(VLOOKUP(B545,'Commission Rates'!$A:$C,3,FALSE),0)</f>
        <v>0</v>
      </c>
      <c r="F545" s="8" t="str">
        <f>IF(B545="","",D545*E545)</f>
        <v/>
      </c>
      <c r="H545" t="str">
        <f>IF(A545="","",WEEKNUM(A545,1))</f>
        <v/>
      </c>
      <c r="I545" t="str">
        <f>IFERROR(INDEX('Pay Calendar'!$B$2:$B$10,MATCH(H545,'Pay Calendar'!$A$2:$A$10,0)),"")</f>
        <v/>
      </c>
    </row>
    <row r="546" spans="1:9" x14ac:dyDescent="0.2">
      <c r="A546" s="7"/>
      <c r="C546" t="str">
        <f>IFERROR(VLOOKUP(B546,'Commission Rates'!$A:$C,2,FALSE),"")</f>
        <v/>
      </c>
      <c r="E546" s="8">
        <f>IFERROR(VLOOKUP(B546,'Commission Rates'!$A:$C,3,FALSE),0)</f>
        <v>0</v>
      </c>
      <c r="F546" s="8" t="str">
        <f>IF(B546="","",D546*E546)</f>
        <v/>
      </c>
      <c r="H546" t="str">
        <f>IF(A546="","",WEEKNUM(A546,1))</f>
        <v/>
      </c>
      <c r="I546" t="str">
        <f>IFERROR(INDEX('Pay Calendar'!$B$2:$B$10,MATCH(H546,'Pay Calendar'!$A$2:$A$10,0)),"")</f>
        <v/>
      </c>
    </row>
    <row r="547" spans="1:9" x14ac:dyDescent="0.2">
      <c r="A547" s="7"/>
      <c r="C547" t="str">
        <f>IFERROR(VLOOKUP(B547,'Commission Rates'!$A:$C,2,FALSE),"")</f>
        <v/>
      </c>
      <c r="E547" s="8">
        <f>IFERROR(VLOOKUP(B547,'Commission Rates'!$A:$C,3,FALSE),0)</f>
        <v>0</v>
      </c>
      <c r="F547" s="8" t="str">
        <f>IF(B547="","",D547*E547)</f>
        <v/>
      </c>
      <c r="H547" t="str">
        <f>IF(A547="","",WEEKNUM(A547,1))</f>
        <v/>
      </c>
      <c r="I547" t="str">
        <f>IFERROR(INDEX('Pay Calendar'!$B$2:$B$10,MATCH(H547,'Pay Calendar'!$A$2:$A$10,0)),"")</f>
        <v/>
      </c>
    </row>
    <row r="548" spans="1:9" x14ac:dyDescent="0.2">
      <c r="A548" s="7"/>
      <c r="C548" t="str">
        <f>IFERROR(VLOOKUP(B548,'Commission Rates'!$A:$C,2,FALSE),"")</f>
        <v/>
      </c>
      <c r="E548" s="8">
        <f>IFERROR(VLOOKUP(B548,'Commission Rates'!$A:$C,3,FALSE),0)</f>
        <v>0</v>
      </c>
      <c r="F548" s="8" t="str">
        <f>IF(B548="","",D548*E548)</f>
        <v/>
      </c>
      <c r="H548" t="str">
        <f>IF(A548="","",WEEKNUM(A548,1))</f>
        <v/>
      </c>
      <c r="I548" t="str">
        <f>IFERROR(INDEX('Pay Calendar'!$B$2:$B$10,MATCH(H548,'Pay Calendar'!$A$2:$A$10,0)),"")</f>
        <v/>
      </c>
    </row>
    <row r="549" spans="1:9" x14ac:dyDescent="0.2">
      <c r="A549" s="7"/>
      <c r="C549" t="str">
        <f>IFERROR(VLOOKUP(B549,'Commission Rates'!$A:$C,2,FALSE),"")</f>
        <v/>
      </c>
      <c r="E549" s="8">
        <f>IFERROR(VLOOKUP(B549,'Commission Rates'!$A:$C,3,FALSE),0)</f>
        <v>0</v>
      </c>
      <c r="F549" s="8" t="str">
        <f>IF(B549="","",D549*E549)</f>
        <v/>
      </c>
      <c r="H549" t="str">
        <f>IF(A549="","",WEEKNUM(A549,1))</f>
        <v/>
      </c>
      <c r="I549" t="str">
        <f>IFERROR(INDEX('Pay Calendar'!$B$2:$B$10,MATCH(H549,'Pay Calendar'!$A$2:$A$10,0)),"")</f>
        <v/>
      </c>
    </row>
    <row r="550" spans="1:9" x14ac:dyDescent="0.2">
      <c r="A550" s="7"/>
      <c r="C550" t="str">
        <f>IFERROR(VLOOKUP(B550,'Commission Rates'!$A:$C,2,FALSE),"")</f>
        <v/>
      </c>
      <c r="E550" s="8">
        <f>IFERROR(VLOOKUP(B550,'Commission Rates'!$A:$C,3,FALSE),0)</f>
        <v>0</v>
      </c>
      <c r="F550" s="8" t="str">
        <f>IF(B550="","",D550*E550)</f>
        <v/>
      </c>
      <c r="H550" t="str">
        <f>IF(A550="","",WEEKNUM(A550,1))</f>
        <v/>
      </c>
      <c r="I550" t="str">
        <f>IFERROR(INDEX('Pay Calendar'!$B$2:$B$10,MATCH(H550,'Pay Calendar'!$A$2:$A$10,0)),"")</f>
        <v/>
      </c>
    </row>
    <row r="551" spans="1:9" x14ac:dyDescent="0.2">
      <c r="A551" s="7"/>
      <c r="C551" t="str">
        <f>IFERROR(VLOOKUP(B551,'Commission Rates'!$A:$C,2,FALSE),"")</f>
        <v/>
      </c>
      <c r="E551" s="8">
        <f>IFERROR(VLOOKUP(B551,'Commission Rates'!$A:$C,3,FALSE),0)</f>
        <v>0</v>
      </c>
      <c r="F551" s="8" t="str">
        <f>IF(B551="","",D551*E551)</f>
        <v/>
      </c>
      <c r="H551" t="str">
        <f>IF(A551="","",WEEKNUM(A551,1))</f>
        <v/>
      </c>
      <c r="I551" t="str">
        <f>IFERROR(INDEX('Pay Calendar'!$B$2:$B$10,MATCH(H551,'Pay Calendar'!$A$2:$A$10,0)),"")</f>
        <v/>
      </c>
    </row>
    <row r="552" spans="1:9" x14ac:dyDescent="0.2">
      <c r="A552" s="7"/>
      <c r="C552" t="str">
        <f>IFERROR(VLOOKUP(B552,'Commission Rates'!$A:$C,2,FALSE),"")</f>
        <v/>
      </c>
      <c r="E552" s="8">
        <f>IFERROR(VLOOKUP(B552,'Commission Rates'!$A:$C,3,FALSE),0)</f>
        <v>0</v>
      </c>
      <c r="F552" s="8" t="str">
        <f>IF(B552="","",D552*E552)</f>
        <v/>
      </c>
      <c r="H552" t="str">
        <f>IF(A552="","",WEEKNUM(A552,1))</f>
        <v/>
      </c>
      <c r="I552" t="str">
        <f>IFERROR(INDEX('Pay Calendar'!$B$2:$B$10,MATCH(H552,'Pay Calendar'!$A$2:$A$10,0)),"")</f>
        <v/>
      </c>
    </row>
    <row r="553" spans="1:9" x14ac:dyDescent="0.2">
      <c r="A553" s="7"/>
      <c r="C553" t="str">
        <f>IFERROR(VLOOKUP(B553,'Commission Rates'!$A:$C,2,FALSE),"")</f>
        <v/>
      </c>
      <c r="E553" s="8">
        <f>IFERROR(VLOOKUP(B553,'Commission Rates'!$A:$C,3,FALSE),0)</f>
        <v>0</v>
      </c>
      <c r="F553" s="8" t="str">
        <f>IF(B553="","",D553*E553)</f>
        <v/>
      </c>
      <c r="H553" t="str">
        <f>IF(A553="","",WEEKNUM(A553,1))</f>
        <v/>
      </c>
      <c r="I553" t="str">
        <f>IFERROR(INDEX('Pay Calendar'!$B$2:$B$10,MATCH(H553,'Pay Calendar'!$A$2:$A$10,0)),"")</f>
        <v/>
      </c>
    </row>
    <row r="554" spans="1:9" x14ac:dyDescent="0.2">
      <c r="A554" s="7"/>
      <c r="C554" t="str">
        <f>IFERROR(VLOOKUP(B554,'Commission Rates'!$A:$C,2,FALSE),"")</f>
        <v/>
      </c>
      <c r="E554" s="8">
        <f>IFERROR(VLOOKUP(B554,'Commission Rates'!$A:$C,3,FALSE),0)</f>
        <v>0</v>
      </c>
      <c r="F554" s="8" t="str">
        <f>IF(B554="","",D554*E554)</f>
        <v/>
      </c>
      <c r="H554" t="str">
        <f>IF(A554="","",WEEKNUM(A554,1))</f>
        <v/>
      </c>
      <c r="I554" t="str">
        <f>IFERROR(INDEX('Pay Calendar'!$B$2:$B$10,MATCH(H554,'Pay Calendar'!$A$2:$A$10,0)),"")</f>
        <v/>
      </c>
    </row>
    <row r="555" spans="1:9" x14ac:dyDescent="0.2">
      <c r="A555" s="7"/>
      <c r="C555" t="str">
        <f>IFERROR(VLOOKUP(B555,'Commission Rates'!$A:$C,2,FALSE),"")</f>
        <v/>
      </c>
      <c r="E555" s="8">
        <f>IFERROR(VLOOKUP(B555,'Commission Rates'!$A:$C,3,FALSE),0)</f>
        <v>0</v>
      </c>
      <c r="F555" s="8" t="str">
        <f>IF(B555="","",D555*E555)</f>
        <v/>
      </c>
      <c r="H555" t="str">
        <f>IF(A555="","",WEEKNUM(A555,1))</f>
        <v/>
      </c>
      <c r="I555" t="str">
        <f>IFERROR(INDEX('Pay Calendar'!$B$2:$B$10,MATCH(H555,'Pay Calendar'!$A$2:$A$10,0)),"")</f>
        <v/>
      </c>
    </row>
    <row r="556" spans="1:9" x14ac:dyDescent="0.2">
      <c r="A556" s="7"/>
      <c r="C556" t="str">
        <f>IFERROR(VLOOKUP(B556,'Commission Rates'!$A:$C,2,FALSE),"")</f>
        <v/>
      </c>
      <c r="E556" s="8">
        <f>IFERROR(VLOOKUP(B556,'Commission Rates'!$A:$C,3,FALSE),0)</f>
        <v>0</v>
      </c>
      <c r="F556" s="8" t="str">
        <f>IF(B556="","",D556*E556)</f>
        <v/>
      </c>
      <c r="H556" t="str">
        <f>IF(A556="","",WEEKNUM(A556,1))</f>
        <v/>
      </c>
      <c r="I556" t="str">
        <f>IFERROR(INDEX('Pay Calendar'!$B$2:$B$10,MATCH(H556,'Pay Calendar'!$A$2:$A$10,0)),"")</f>
        <v/>
      </c>
    </row>
    <row r="557" spans="1:9" x14ac:dyDescent="0.2">
      <c r="A557" s="7"/>
      <c r="C557" t="str">
        <f>IFERROR(VLOOKUP(B557,'Commission Rates'!$A:$C,2,FALSE),"")</f>
        <v/>
      </c>
      <c r="E557" s="8">
        <f>IFERROR(VLOOKUP(B557,'Commission Rates'!$A:$C,3,FALSE),0)</f>
        <v>0</v>
      </c>
      <c r="F557" s="8" t="str">
        <f>IF(B557="","",D557*E557)</f>
        <v/>
      </c>
      <c r="H557" t="str">
        <f>IF(A557="","",WEEKNUM(A557,1))</f>
        <v/>
      </c>
      <c r="I557" t="str">
        <f>IFERROR(INDEX('Pay Calendar'!$B$2:$B$10,MATCH(H557,'Pay Calendar'!$A$2:$A$10,0)),"")</f>
        <v/>
      </c>
    </row>
    <row r="558" spans="1:9" x14ac:dyDescent="0.2">
      <c r="A558" s="7"/>
      <c r="C558" t="str">
        <f>IFERROR(VLOOKUP(B558,'Commission Rates'!$A:$C,2,FALSE),"")</f>
        <v/>
      </c>
      <c r="E558" s="8">
        <f>IFERROR(VLOOKUP(B558,'Commission Rates'!$A:$C,3,FALSE),0)</f>
        <v>0</v>
      </c>
      <c r="F558" s="8" t="str">
        <f>IF(B558="","",D558*E558)</f>
        <v/>
      </c>
      <c r="H558" t="str">
        <f>IF(A558="","",WEEKNUM(A558,1))</f>
        <v/>
      </c>
      <c r="I558" t="str">
        <f>IFERROR(INDEX('Pay Calendar'!$B$2:$B$10,MATCH(H558,'Pay Calendar'!$A$2:$A$10,0)),"")</f>
        <v/>
      </c>
    </row>
    <row r="559" spans="1:9" x14ac:dyDescent="0.2">
      <c r="A559" s="7"/>
      <c r="C559" t="str">
        <f>IFERROR(VLOOKUP(B559,'Commission Rates'!$A:$C,2,FALSE),"")</f>
        <v/>
      </c>
      <c r="E559" s="8">
        <f>IFERROR(VLOOKUP(B559,'Commission Rates'!$A:$C,3,FALSE),0)</f>
        <v>0</v>
      </c>
      <c r="F559" s="8" t="str">
        <f>IF(B559="","",D559*E559)</f>
        <v/>
      </c>
      <c r="H559" t="str">
        <f>IF(A559="","",WEEKNUM(A559,1))</f>
        <v/>
      </c>
      <c r="I559" t="str">
        <f>IFERROR(INDEX('Pay Calendar'!$B$2:$B$10,MATCH(H559,'Pay Calendar'!$A$2:$A$10,0)),"")</f>
        <v/>
      </c>
    </row>
    <row r="560" spans="1:9" x14ac:dyDescent="0.2">
      <c r="A560" s="7"/>
      <c r="C560" t="str">
        <f>IFERROR(VLOOKUP(B560,'Commission Rates'!$A:$C,2,FALSE),"")</f>
        <v/>
      </c>
      <c r="E560" s="8">
        <f>IFERROR(VLOOKUP(B560,'Commission Rates'!$A:$C,3,FALSE),0)</f>
        <v>0</v>
      </c>
      <c r="F560" s="8" t="str">
        <f>IF(B560="","",D560*E560)</f>
        <v/>
      </c>
      <c r="H560" t="str">
        <f>IF(A560="","",WEEKNUM(A560,1))</f>
        <v/>
      </c>
      <c r="I560" t="str">
        <f>IFERROR(INDEX('Pay Calendar'!$B$2:$B$10,MATCH(H560,'Pay Calendar'!$A$2:$A$10,0)),"")</f>
        <v/>
      </c>
    </row>
    <row r="561" spans="1:9" x14ac:dyDescent="0.2">
      <c r="A561" s="7"/>
      <c r="C561" t="str">
        <f>IFERROR(VLOOKUP(B561,'Commission Rates'!$A:$C,2,FALSE),"")</f>
        <v/>
      </c>
      <c r="E561" s="8">
        <f>IFERROR(VLOOKUP(B561,'Commission Rates'!$A:$C,3,FALSE),0)</f>
        <v>0</v>
      </c>
      <c r="F561" s="8" t="str">
        <f>IF(B561="","",D561*E561)</f>
        <v/>
      </c>
      <c r="H561" t="str">
        <f>IF(A561="","",WEEKNUM(A561,1))</f>
        <v/>
      </c>
      <c r="I561" t="str">
        <f>IFERROR(INDEX('Pay Calendar'!$B$2:$B$10,MATCH(H561,'Pay Calendar'!$A$2:$A$10,0)),"")</f>
        <v/>
      </c>
    </row>
    <row r="562" spans="1:9" x14ac:dyDescent="0.2">
      <c r="A562" s="7"/>
      <c r="C562" t="str">
        <f>IFERROR(VLOOKUP(B562,'Commission Rates'!$A:$C,2,FALSE),"")</f>
        <v/>
      </c>
      <c r="E562" s="8">
        <f>IFERROR(VLOOKUP(B562,'Commission Rates'!$A:$C,3,FALSE),0)</f>
        <v>0</v>
      </c>
      <c r="F562" s="8" t="str">
        <f>IF(B562="","",D562*E562)</f>
        <v/>
      </c>
      <c r="H562" t="str">
        <f>IF(A562="","",WEEKNUM(A562,1))</f>
        <v/>
      </c>
      <c r="I562" t="str">
        <f>IFERROR(INDEX('Pay Calendar'!$B$2:$B$10,MATCH(H562,'Pay Calendar'!$A$2:$A$10,0)),"")</f>
        <v/>
      </c>
    </row>
    <row r="563" spans="1:9" x14ac:dyDescent="0.2">
      <c r="A563" s="7"/>
      <c r="C563" t="str">
        <f>IFERROR(VLOOKUP(B563,'Commission Rates'!$A:$C,2,FALSE),"")</f>
        <v/>
      </c>
      <c r="E563" s="8">
        <f>IFERROR(VLOOKUP(B563,'Commission Rates'!$A:$C,3,FALSE),0)</f>
        <v>0</v>
      </c>
      <c r="F563" s="8" t="str">
        <f>IF(B563="","",D563*E563)</f>
        <v/>
      </c>
      <c r="H563" t="str">
        <f>IF(A563="","",WEEKNUM(A563,1))</f>
        <v/>
      </c>
      <c r="I563" t="str">
        <f>IFERROR(INDEX('Pay Calendar'!$B$2:$B$10,MATCH(H563,'Pay Calendar'!$A$2:$A$10,0)),"")</f>
        <v/>
      </c>
    </row>
    <row r="564" spans="1:9" x14ac:dyDescent="0.2">
      <c r="A564" s="7"/>
      <c r="C564" t="str">
        <f>IFERROR(VLOOKUP(B564,'Commission Rates'!$A:$C,2,FALSE),"")</f>
        <v/>
      </c>
      <c r="E564" s="8">
        <f>IFERROR(VLOOKUP(B564,'Commission Rates'!$A:$C,3,FALSE),0)</f>
        <v>0</v>
      </c>
      <c r="F564" s="8" t="str">
        <f>IF(B564="","",D564*E564)</f>
        <v/>
      </c>
      <c r="H564" t="str">
        <f>IF(A564="","",WEEKNUM(A564,1))</f>
        <v/>
      </c>
      <c r="I564" t="str">
        <f>IFERROR(INDEX('Pay Calendar'!$B$2:$B$10,MATCH(H564,'Pay Calendar'!$A$2:$A$10,0)),"")</f>
        <v/>
      </c>
    </row>
    <row r="565" spans="1:9" x14ac:dyDescent="0.2">
      <c r="A565" s="7"/>
      <c r="C565" t="str">
        <f>IFERROR(VLOOKUP(B565,'Commission Rates'!$A:$C,2,FALSE),"")</f>
        <v/>
      </c>
      <c r="E565" s="8">
        <f>IFERROR(VLOOKUP(B565,'Commission Rates'!$A:$C,3,FALSE),0)</f>
        <v>0</v>
      </c>
      <c r="F565" s="8" t="str">
        <f>IF(B565="","",D565*E565)</f>
        <v/>
      </c>
      <c r="H565" t="str">
        <f>IF(A565="","",WEEKNUM(A565,1))</f>
        <v/>
      </c>
      <c r="I565" t="str">
        <f>IFERROR(INDEX('Pay Calendar'!$B$2:$B$10,MATCH(H565,'Pay Calendar'!$A$2:$A$10,0)),"")</f>
        <v/>
      </c>
    </row>
    <row r="566" spans="1:9" x14ac:dyDescent="0.2">
      <c r="A566" s="7"/>
      <c r="C566" t="str">
        <f>IFERROR(VLOOKUP(B566,'Commission Rates'!$A:$C,2,FALSE),"")</f>
        <v/>
      </c>
      <c r="E566" s="8">
        <f>IFERROR(VLOOKUP(B566,'Commission Rates'!$A:$C,3,FALSE),0)</f>
        <v>0</v>
      </c>
      <c r="F566" s="8" t="str">
        <f>IF(B566="","",D566*E566)</f>
        <v/>
      </c>
      <c r="H566" t="str">
        <f>IF(A566="","",WEEKNUM(A566,1))</f>
        <v/>
      </c>
      <c r="I566" t="str">
        <f>IFERROR(INDEX('Pay Calendar'!$B$2:$B$10,MATCH(H566,'Pay Calendar'!$A$2:$A$10,0)),"")</f>
        <v/>
      </c>
    </row>
    <row r="567" spans="1:9" x14ac:dyDescent="0.2">
      <c r="A567" s="7"/>
      <c r="C567" t="str">
        <f>IFERROR(VLOOKUP(B567,'Commission Rates'!$A:$C,2,FALSE),"")</f>
        <v/>
      </c>
      <c r="E567" s="8">
        <f>IFERROR(VLOOKUP(B567,'Commission Rates'!$A:$C,3,FALSE),0)</f>
        <v>0</v>
      </c>
      <c r="F567" s="8" t="str">
        <f>IF(B567="","",D567*E567)</f>
        <v/>
      </c>
      <c r="H567" t="str">
        <f>IF(A567="","",WEEKNUM(A567,1))</f>
        <v/>
      </c>
      <c r="I567" t="str">
        <f>IFERROR(INDEX('Pay Calendar'!$B$2:$B$10,MATCH(H567,'Pay Calendar'!$A$2:$A$10,0)),"")</f>
        <v/>
      </c>
    </row>
    <row r="568" spans="1:9" x14ac:dyDescent="0.2">
      <c r="A568" s="7"/>
      <c r="C568" t="str">
        <f>IFERROR(VLOOKUP(B568,'Commission Rates'!$A:$C,2,FALSE),"")</f>
        <v/>
      </c>
      <c r="E568" s="8">
        <f>IFERROR(VLOOKUP(B568,'Commission Rates'!$A:$C,3,FALSE),0)</f>
        <v>0</v>
      </c>
      <c r="F568" s="8" t="str">
        <f>IF(B568="","",D568*E568)</f>
        <v/>
      </c>
      <c r="H568" t="str">
        <f>IF(A568="","",WEEKNUM(A568,1))</f>
        <v/>
      </c>
      <c r="I568" t="str">
        <f>IFERROR(INDEX('Pay Calendar'!$B$2:$B$10,MATCH(H568,'Pay Calendar'!$A$2:$A$10,0)),"")</f>
        <v/>
      </c>
    </row>
    <row r="569" spans="1:9" x14ac:dyDescent="0.2">
      <c r="A569" s="7"/>
      <c r="C569" t="str">
        <f>IFERROR(VLOOKUP(B569,'Commission Rates'!$A:$C,2,FALSE),"")</f>
        <v/>
      </c>
      <c r="E569" s="8">
        <f>IFERROR(VLOOKUP(B569,'Commission Rates'!$A:$C,3,FALSE),0)</f>
        <v>0</v>
      </c>
      <c r="F569" s="8" t="str">
        <f>IF(B569="","",D569*E569)</f>
        <v/>
      </c>
      <c r="H569" t="str">
        <f>IF(A569="","",WEEKNUM(A569,1))</f>
        <v/>
      </c>
      <c r="I569" t="str">
        <f>IFERROR(INDEX('Pay Calendar'!$B$2:$B$10,MATCH(H569,'Pay Calendar'!$A$2:$A$10,0)),"")</f>
        <v/>
      </c>
    </row>
    <row r="570" spans="1:9" x14ac:dyDescent="0.2">
      <c r="A570" s="7"/>
      <c r="C570" t="str">
        <f>IFERROR(VLOOKUP(B570,'Commission Rates'!$A:$C,2,FALSE),"")</f>
        <v/>
      </c>
      <c r="E570" s="8">
        <f>IFERROR(VLOOKUP(B570,'Commission Rates'!$A:$C,3,FALSE),0)</f>
        <v>0</v>
      </c>
      <c r="F570" s="8" t="str">
        <f>IF(B570="","",D570*E570)</f>
        <v/>
      </c>
      <c r="H570" t="str">
        <f>IF(A570="","",WEEKNUM(A570,1))</f>
        <v/>
      </c>
      <c r="I570" t="str">
        <f>IFERROR(INDEX('Pay Calendar'!$B$2:$B$10,MATCH(H570,'Pay Calendar'!$A$2:$A$10,0)),"")</f>
        <v/>
      </c>
    </row>
    <row r="571" spans="1:9" x14ac:dyDescent="0.2">
      <c r="A571" s="7"/>
      <c r="C571" t="str">
        <f>IFERROR(VLOOKUP(B571,'Commission Rates'!$A:$C,2,FALSE),"")</f>
        <v/>
      </c>
      <c r="E571" s="8">
        <f>IFERROR(VLOOKUP(B571,'Commission Rates'!$A:$C,3,FALSE),0)</f>
        <v>0</v>
      </c>
      <c r="F571" s="8" t="str">
        <f>IF(B571="","",D571*E571)</f>
        <v/>
      </c>
      <c r="H571" t="str">
        <f>IF(A571="","",WEEKNUM(A571,1))</f>
        <v/>
      </c>
      <c r="I571" t="str">
        <f>IFERROR(INDEX('Pay Calendar'!$B$2:$B$10,MATCH(H571,'Pay Calendar'!$A$2:$A$10,0)),"")</f>
        <v/>
      </c>
    </row>
    <row r="572" spans="1:9" x14ac:dyDescent="0.2">
      <c r="A572" s="7"/>
      <c r="C572" t="str">
        <f>IFERROR(VLOOKUP(B572,'Commission Rates'!$A:$C,2,FALSE),"")</f>
        <v/>
      </c>
      <c r="E572" s="8">
        <f>IFERROR(VLOOKUP(B572,'Commission Rates'!$A:$C,3,FALSE),0)</f>
        <v>0</v>
      </c>
      <c r="F572" s="8" t="str">
        <f>IF(B572="","",D572*E572)</f>
        <v/>
      </c>
      <c r="H572" t="str">
        <f>IF(A572="","",WEEKNUM(A572,1))</f>
        <v/>
      </c>
      <c r="I572" t="str">
        <f>IFERROR(INDEX('Pay Calendar'!$B$2:$B$10,MATCH(H572,'Pay Calendar'!$A$2:$A$10,0)),"")</f>
        <v/>
      </c>
    </row>
    <row r="573" spans="1:9" x14ac:dyDescent="0.2">
      <c r="A573" s="7"/>
      <c r="C573" t="str">
        <f>IFERROR(VLOOKUP(B573,'Commission Rates'!$A:$C,2,FALSE),"")</f>
        <v/>
      </c>
      <c r="E573" s="8">
        <f>IFERROR(VLOOKUP(B573,'Commission Rates'!$A:$C,3,FALSE),0)</f>
        <v>0</v>
      </c>
      <c r="F573" s="8" t="str">
        <f>IF(B573="","",D573*E573)</f>
        <v/>
      </c>
      <c r="H573" t="str">
        <f>IF(A573="","",WEEKNUM(A573,1))</f>
        <v/>
      </c>
      <c r="I573" t="str">
        <f>IFERROR(INDEX('Pay Calendar'!$B$2:$B$10,MATCH(H573,'Pay Calendar'!$A$2:$A$10,0)),"")</f>
        <v/>
      </c>
    </row>
    <row r="574" spans="1:9" x14ac:dyDescent="0.2">
      <c r="A574" s="7"/>
      <c r="C574" t="str">
        <f>IFERROR(VLOOKUP(B574,'Commission Rates'!$A:$C,2,FALSE),"")</f>
        <v/>
      </c>
      <c r="E574" s="8">
        <f>IFERROR(VLOOKUP(B574,'Commission Rates'!$A:$C,3,FALSE),0)</f>
        <v>0</v>
      </c>
      <c r="F574" s="8" t="str">
        <f>IF(B574="","",D574*E574)</f>
        <v/>
      </c>
      <c r="H574" t="str">
        <f>IF(A574="","",WEEKNUM(A574,1))</f>
        <v/>
      </c>
      <c r="I574" t="str">
        <f>IFERROR(INDEX('Pay Calendar'!$B$2:$B$10,MATCH(H574,'Pay Calendar'!$A$2:$A$10,0)),"")</f>
        <v/>
      </c>
    </row>
    <row r="575" spans="1:9" x14ac:dyDescent="0.2">
      <c r="A575" s="7"/>
      <c r="C575" t="str">
        <f>IFERROR(VLOOKUP(B575,'Commission Rates'!$A:$C,2,FALSE),"")</f>
        <v/>
      </c>
      <c r="E575" s="8">
        <f>IFERROR(VLOOKUP(B575,'Commission Rates'!$A:$C,3,FALSE),0)</f>
        <v>0</v>
      </c>
      <c r="F575" s="8" t="str">
        <f>IF(B575="","",D575*E575)</f>
        <v/>
      </c>
      <c r="H575" t="str">
        <f>IF(A575="","",WEEKNUM(A575,1))</f>
        <v/>
      </c>
      <c r="I575" t="str">
        <f>IFERROR(INDEX('Pay Calendar'!$B$2:$B$10,MATCH(H575,'Pay Calendar'!$A$2:$A$10,0)),"")</f>
        <v/>
      </c>
    </row>
    <row r="576" spans="1:9" x14ac:dyDescent="0.2">
      <c r="A576" s="7"/>
      <c r="C576" t="str">
        <f>IFERROR(VLOOKUP(B576,'Commission Rates'!$A:$C,2,FALSE),"")</f>
        <v/>
      </c>
      <c r="E576" s="8">
        <f>IFERROR(VLOOKUP(B576,'Commission Rates'!$A:$C,3,FALSE),0)</f>
        <v>0</v>
      </c>
      <c r="F576" s="8" t="str">
        <f>IF(B576="","",D576*E576)</f>
        <v/>
      </c>
      <c r="H576" t="str">
        <f>IF(A576="","",WEEKNUM(A576,1))</f>
        <v/>
      </c>
      <c r="I576" t="str">
        <f>IFERROR(INDEX('Pay Calendar'!$B$2:$B$10,MATCH(H576,'Pay Calendar'!$A$2:$A$10,0)),"")</f>
        <v/>
      </c>
    </row>
    <row r="577" spans="1:9" x14ac:dyDescent="0.2">
      <c r="A577" s="7"/>
      <c r="C577" t="str">
        <f>IFERROR(VLOOKUP(B577,'Commission Rates'!$A:$C,2,FALSE),"")</f>
        <v/>
      </c>
      <c r="E577" s="8">
        <f>IFERROR(VLOOKUP(B577,'Commission Rates'!$A:$C,3,FALSE),0)</f>
        <v>0</v>
      </c>
      <c r="F577" s="8" t="str">
        <f>IF(B577="","",D577*E577)</f>
        <v/>
      </c>
      <c r="H577" t="str">
        <f>IF(A577="","",WEEKNUM(A577,1))</f>
        <v/>
      </c>
      <c r="I577" t="str">
        <f>IFERROR(INDEX('Pay Calendar'!$B$2:$B$10,MATCH(H577,'Pay Calendar'!$A$2:$A$10,0)),"")</f>
        <v/>
      </c>
    </row>
    <row r="578" spans="1:9" x14ac:dyDescent="0.2">
      <c r="A578" s="7"/>
      <c r="C578" t="str">
        <f>IFERROR(VLOOKUP(B578,'Commission Rates'!$A:$C,2,FALSE),"")</f>
        <v/>
      </c>
      <c r="E578" s="8">
        <f>IFERROR(VLOOKUP(B578,'Commission Rates'!$A:$C,3,FALSE),0)</f>
        <v>0</v>
      </c>
      <c r="F578" s="8" t="str">
        <f>IF(B578="","",D578*E578)</f>
        <v/>
      </c>
      <c r="H578" t="str">
        <f>IF(A578="","",WEEKNUM(A578,1))</f>
        <v/>
      </c>
      <c r="I578" t="str">
        <f>IFERROR(INDEX('Pay Calendar'!$B$2:$B$10,MATCH(H578,'Pay Calendar'!$A$2:$A$10,0)),"")</f>
        <v/>
      </c>
    </row>
    <row r="579" spans="1:9" x14ac:dyDescent="0.2">
      <c r="A579" s="7"/>
      <c r="C579" t="str">
        <f>IFERROR(VLOOKUP(B579,'Commission Rates'!$A:$C,2,FALSE),"")</f>
        <v/>
      </c>
      <c r="E579" s="8">
        <f>IFERROR(VLOOKUP(B579,'Commission Rates'!$A:$C,3,FALSE),0)</f>
        <v>0</v>
      </c>
      <c r="F579" s="8" t="str">
        <f>IF(B579="","",D579*E579)</f>
        <v/>
      </c>
      <c r="H579" t="str">
        <f>IF(A579="","",WEEKNUM(A579,1))</f>
        <v/>
      </c>
      <c r="I579" t="str">
        <f>IFERROR(INDEX('Pay Calendar'!$B$2:$B$10,MATCH(H579,'Pay Calendar'!$A$2:$A$10,0)),"")</f>
        <v/>
      </c>
    </row>
    <row r="580" spans="1:9" x14ac:dyDescent="0.2">
      <c r="A580" s="7"/>
      <c r="C580" t="str">
        <f>IFERROR(VLOOKUP(B580,'Commission Rates'!$A:$C,2,FALSE),"")</f>
        <v/>
      </c>
      <c r="E580" s="8">
        <f>IFERROR(VLOOKUP(B580,'Commission Rates'!$A:$C,3,FALSE),0)</f>
        <v>0</v>
      </c>
      <c r="F580" s="8" t="str">
        <f>IF(B580="","",D580*E580)</f>
        <v/>
      </c>
      <c r="H580" t="str">
        <f>IF(A580="","",WEEKNUM(A580,1))</f>
        <v/>
      </c>
      <c r="I580" t="str">
        <f>IFERROR(INDEX('Pay Calendar'!$B$2:$B$10,MATCH(H580,'Pay Calendar'!$A$2:$A$10,0)),"")</f>
        <v/>
      </c>
    </row>
    <row r="581" spans="1:9" x14ac:dyDescent="0.2">
      <c r="A581" s="7"/>
      <c r="C581" t="str">
        <f>IFERROR(VLOOKUP(B581,'Commission Rates'!$A:$C,2,FALSE),"")</f>
        <v/>
      </c>
      <c r="E581" s="8">
        <f>IFERROR(VLOOKUP(B581,'Commission Rates'!$A:$C,3,FALSE),0)</f>
        <v>0</v>
      </c>
      <c r="F581" s="8" t="str">
        <f>IF(B581="","",D581*E581)</f>
        <v/>
      </c>
      <c r="H581" t="str">
        <f>IF(A581="","",WEEKNUM(A581,1))</f>
        <v/>
      </c>
      <c r="I581" t="str">
        <f>IFERROR(INDEX('Pay Calendar'!$B$2:$B$10,MATCH(H581,'Pay Calendar'!$A$2:$A$10,0)),"")</f>
        <v/>
      </c>
    </row>
    <row r="582" spans="1:9" x14ac:dyDescent="0.2">
      <c r="A582" s="7"/>
      <c r="C582" t="str">
        <f>IFERROR(VLOOKUP(B582,'Commission Rates'!$A:$C,2,FALSE),"")</f>
        <v/>
      </c>
      <c r="E582" s="8">
        <f>IFERROR(VLOOKUP(B582,'Commission Rates'!$A:$C,3,FALSE),0)</f>
        <v>0</v>
      </c>
      <c r="F582" s="8" t="str">
        <f>IF(B582="","",D582*E582)</f>
        <v/>
      </c>
      <c r="H582" t="str">
        <f>IF(A582="","",WEEKNUM(A582,1))</f>
        <v/>
      </c>
      <c r="I582" t="str">
        <f>IFERROR(INDEX('Pay Calendar'!$B$2:$B$10,MATCH(H582,'Pay Calendar'!$A$2:$A$10,0)),"")</f>
        <v/>
      </c>
    </row>
    <row r="583" spans="1:9" x14ac:dyDescent="0.2">
      <c r="A583" s="7"/>
      <c r="C583" t="str">
        <f>IFERROR(VLOOKUP(B583,'Commission Rates'!$A:$C,2,FALSE),"")</f>
        <v/>
      </c>
      <c r="E583" s="8">
        <f>IFERROR(VLOOKUP(B583,'Commission Rates'!$A:$C,3,FALSE),0)</f>
        <v>0</v>
      </c>
      <c r="F583" s="8" t="str">
        <f>IF(B583="","",D583*E583)</f>
        <v/>
      </c>
      <c r="H583" t="str">
        <f>IF(A583="","",WEEKNUM(A583,1))</f>
        <v/>
      </c>
      <c r="I583" t="str">
        <f>IFERROR(INDEX('Pay Calendar'!$B$2:$B$10,MATCH(H583,'Pay Calendar'!$A$2:$A$10,0)),"")</f>
        <v/>
      </c>
    </row>
    <row r="584" spans="1:9" x14ac:dyDescent="0.2">
      <c r="A584" s="7"/>
      <c r="C584" t="str">
        <f>IFERROR(VLOOKUP(B584,'Commission Rates'!$A:$C,2,FALSE),"")</f>
        <v/>
      </c>
      <c r="E584" s="8">
        <f>IFERROR(VLOOKUP(B584,'Commission Rates'!$A:$C,3,FALSE),0)</f>
        <v>0</v>
      </c>
      <c r="F584" s="8" t="str">
        <f>IF(B584="","",D584*E584)</f>
        <v/>
      </c>
      <c r="H584" t="str">
        <f>IF(A584="","",WEEKNUM(A584,1))</f>
        <v/>
      </c>
      <c r="I584" t="str">
        <f>IFERROR(INDEX('Pay Calendar'!$B$2:$B$10,MATCH(H584,'Pay Calendar'!$A$2:$A$10,0)),"")</f>
        <v/>
      </c>
    </row>
    <row r="585" spans="1:9" x14ac:dyDescent="0.2">
      <c r="A585" s="7"/>
      <c r="C585" t="str">
        <f>IFERROR(VLOOKUP(B585,'Commission Rates'!$A:$C,2,FALSE),"")</f>
        <v/>
      </c>
      <c r="E585" s="8">
        <f>IFERROR(VLOOKUP(B585,'Commission Rates'!$A:$C,3,FALSE),0)</f>
        <v>0</v>
      </c>
      <c r="F585" s="8" t="str">
        <f>IF(B585="","",D585*E585)</f>
        <v/>
      </c>
      <c r="H585" t="str">
        <f>IF(A585="","",WEEKNUM(A585,1))</f>
        <v/>
      </c>
      <c r="I585" t="str">
        <f>IFERROR(INDEX('Pay Calendar'!$B$2:$B$10,MATCH(H585,'Pay Calendar'!$A$2:$A$10,0)),"")</f>
        <v/>
      </c>
    </row>
    <row r="586" spans="1:9" x14ac:dyDescent="0.2">
      <c r="A586" s="7"/>
      <c r="C586" t="str">
        <f>IFERROR(VLOOKUP(B586,'Commission Rates'!$A:$C,2,FALSE),"")</f>
        <v/>
      </c>
      <c r="E586" s="8">
        <f>IFERROR(VLOOKUP(B586,'Commission Rates'!$A:$C,3,FALSE),0)</f>
        <v>0</v>
      </c>
      <c r="F586" s="8" t="str">
        <f>IF(B586="","",D586*E586)</f>
        <v/>
      </c>
      <c r="H586" t="str">
        <f>IF(A586="","",WEEKNUM(A586,1))</f>
        <v/>
      </c>
      <c r="I586" t="str">
        <f>IFERROR(INDEX('Pay Calendar'!$B$2:$B$10,MATCH(H586,'Pay Calendar'!$A$2:$A$10,0)),"")</f>
        <v/>
      </c>
    </row>
    <row r="587" spans="1:9" x14ac:dyDescent="0.2">
      <c r="A587" s="7"/>
      <c r="C587" t="str">
        <f>IFERROR(VLOOKUP(B587,'Commission Rates'!$A:$C,2,FALSE),"")</f>
        <v/>
      </c>
      <c r="E587" s="8">
        <f>IFERROR(VLOOKUP(B587,'Commission Rates'!$A:$C,3,FALSE),0)</f>
        <v>0</v>
      </c>
      <c r="F587" s="8" t="str">
        <f>IF(B587="","",D587*E587)</f>
        <v/>
      </c>
      <c r="H587" t="str">
        <f>IF(A587="","",WEEKNUM(A587,1))</f>
        <v/>
      </c>
      <c r="I587" t="str">
        <f>IFERROR(INDEX('Pay Calendar'!$B$2:$B$10,MATCH(H587,'Pay Calendar'!$A$2:$A$10,0)),"")</f>
        <v/>
      </c>
    </row>
    <row r="588" spans="1:9" x14ac:dyDescent="0.2">
      <c r="A588" s="7"/>
      <c r="C588" t="str">
        <f>IFERROR(VLOOKUP(B588,'Commission Rates'!$A:$C,2,FALSE),"")</f>
        <v/>
      </c>
      <c r="E588" s="8">
        <f>IFERROR(VLOOKUP(B588,'Commission Rates'!$A:$C,3,FALSE),0)</f>
        <v>0</v>
      </c>
      <c r="F588" s="8" t="str">
        <f>IF(B588="","",D588*E588)</f>
        <v/>
      </c>
      <c r="H588" t="str">
        <f>IF(A588="","",WEEKNUM(A588,1))</f>
        <v/>
      </c>
      <c r="I588" t="str">
        <f>IFERROR(INDEX('Pay Calendar'!$B$2:$B$10,MATCH(H588,'Pay Calendar'!$A$2:$A$10,0)),"")</f>
        <v/>
      </c>
    </row>
    <row r="589" spans="1:9" x14ac:dyDescent="0.2">
      <c r="A589" s="7"/>
      <c r="C589" t="str">
        <f>IFERROR(VLOOKUP(B589,'Commission Rates'!$A:$C,2,FALSE),"")</f>
        <v/>
      </c>
      <c r="E589" s="8">
        <f>IFERROR(VLOOKUP(B589,'Commission Rates'!$A:$C,3,FALSE),0)</f>
        <v>0</v>
      </c>
      <c r="F589" s="8" t="str">
        <f>IF(B589="","",D589*E589)</f>
        <v/>
      </c>
      <c r="H589" t="str">
        <f>IF(A589="","",WEEKNUM(A589,1))</f>
        <v/>
      </c>
      <c r="I589" t="str">
        <f>IFERROR(INDEX('Pay Calendar'!$B$2:$B$10,MATCH(H589,'Pay Calendar'!$A$2:$A$10,0)),"")</f>
        <v/>
      </c>
    </row>
    <row r="590" spans="1:9" x14ac:dyDescent="0.2">
      <c r="A590" s="7"/>
      <c r="C590" t="str">
        <f>IFERROR(VLOOKUP(B590,'Commission Rates'!$A:$C,2,FALSE),"")</f>
        <v/>
      </c>
      <c r="E590" s="8">
        <f>IFERROR(VLOOKUP(B590,'Commission Rates'!$A:$C,3,FALSE),0)</f>
        <v>0</v>
      </c>
      <c r="F590" s="8" t="str">
        <f>IF(B590="","",D590*E590)</f>
        <v/>
      </c>
      <c r="H590" t="str">
        <f>IF(A590="","",WEEKNUM(A590,1))</f>
        <v/>
      </c>
      <c r="I590" t="str">
        <f>IFERROR(INDEX('Pay Calendar'!$B$2:$B$10,MATCH(H590,'Pay Calendar'!$A$2:$A$10,0)),"")</f>
        <v/>
      </c>
    </row>
    <row r="591" spans="1:9" x14ac:dyDescent="0.2">
      <c r="A591" s="7"/>
      <c r="C591" t="str">
        <f>IFERROR(VLOOKUP(B591,'Commission Rates'!$A:$C,2,FALSE),"")</f>
        <v/>
      </c>
      <c r="E591" s="8">
        <f>IFERROR(VLOOKUP(B591,'Commission Rates'!$A:$C,3,FALSE),0)</f>
        <v>0</v>
      </c>
      <c r="F591" s="8" t="str">
        <f>IF(B591="","",D591*E591)</f>
        <v/>
      </c>
      <c r="H591" t="str">
        <f>IF(A591="","",WEEKNUM(A591,1))</f>
        <v/>
      </c>
      <c r="I591" t="str">
        <f>IFERROR(INDEX('Pay Calendar'!$B$2:$B$10,MATCH(H591,'Pay Calendar'!$A$2:$A$10,0)),"")</f>
        <v/>
      </c>
    </row>
    <row r="592" spans="1:9" x14ac:dyDescent="0.2">
      <c r="A592" s="7"/>
      <c r="C592" t="str">
        <f>IFERROR(VLOOKUP(B592,'Commission Rates'!$A:$C,2,FALSE),"")</f>
        <v/>
      </c>
      <c r="E592" s="8">
        <f>IFERROR(VLOOKUP(B592,'Commission Rates'!$A:$C,3,FALSE),0)</f>
        <v>0</v>
      </c>
      <c r="F592" s="8" t="str">
        <f>IF(B592="","",D592*E592)</f>
        <v/>
      </c>
      <c r="H592" t="str">
        <f>IF(A592="","",WEEKNUM(A592,1))</f>
        <v/>
      </c>
      <c r="I592" t="str">
        <f>IFERROR(INDEX('Pay Calendar'!$B$2:$B$10,MATCH(H592,'Pay Calendar'!$A$2:$A$10,0)),"")</f>
        <v/>
      </c>
    </row>
    <row r="593" spans="1:9" x14ac:dyDescent="0.2">
      <c r="A593" s="7"/>
      <c r="C593" t="str">
        <f>IFERROR(VLOOKUP(B593,'Commission Rates'!$A:$C,2,FALSE),"")</f>
        <v/>
      </c>
      <c r="E593" s="8">
        <f>IFERROR(VLOOKUP(B593,'Commission Rates'!$A:$C,3,FALSE),0)</f>
        <v>0</v>
      </c>
      <c r="F593" s="8" t="str">
        <f>IF(B593="","",D593*E593)</f>
        <v/>
      </c>
      <c r="H593" t="str">
        <f>IF(A593="","",WEEKNUM(A593,1))</f>
        <v/>
      </c>
      <c r="I593" t="str">
        <f>IFERROR(INDEX('Pay Calendar'!$B$2:$B$10,MATCH(H593,'Pay Calendar'!$A$2:$A$10,0)),"")</f>
        <v/>
      </c>
    </row>
    <row r="594" spans="1:9" x14ac:dyDescent="0.2">
      <c r="A594" s="7"/>
      <c r="C594" t="str">
        <f>IFERROR(VLOOKUP(B594,'Commission Rates'!$A:$C,2,FALSE),"")</f>
        <v/>
      </c>
      <c r="E594" s="8">
        <f>IFERROR(VLOOKUP(B594,'Commission Rates'!$A:$C,3,FALSE),0)</f>
        <v>0</v>
      </c>
      <c r="F594" s="8" t="str">
        <f>IF(B594="","",D594*E594)</f>
        <v/>
      </c>
      <c r="H594" t="str">
        <f>IF(A594="","",WEEKNUM(A594,1))</f>
        <v/>
      </c>
      <c r="I594" t="str">
        <f>IFERROR(INDEX('Pay Calendar'!$B$2:$B$10,MATCH(H594,'Pay Calendar'!$A$2:$A$10,0)),"")</f>
        <v/>
      </c>
    </row>
    <row r="595" spans="1:9" x14ac:dyDescent="0.2">
      <c r="A595" s="7"/>
      <c r="C595" t="str">
        <f>IFERROR(VLOOKUP(B595,'Commission Rates'!$A:$C,2,FALSE),"")</f>
        <v/>
      </c>
      <c r="E595" s="8">
        <f>IFERROR(VLOOKUP(B595,'Commission Rates'!$A:$C,3,FALSE),0)</f>
        <v>0</v>
      </c>
      <c r="F595" s="8" t="str">
        <f>IF(B595="","",D595*E595)</f>
        <v/>
      </c>
      <c r="H595" t="str">
        <f>IF(A595="","",WEEKNUM(A595,1))</f>
        <v/>
      </c>
      <c r="I595" t="str">
        <f>IFERROR(INDEX('Pay Calendar'!$B$2:$B$10,MATCH(H595,'Pay Calendar'!$A$2:$A$10,0)),"")</f>
        <v/>
      </c>
    </row>
    <row r="596" spans="1:9" x14ac:dyDescent="0.2">
      <c r="A596" s="7"/>
      <c r="C596" t="str">
        <f>IFERROR(VLOOKUP(B596,'Commission Rates'!$A:$C,2,FALSE),"")</f>
        <v/>
      </c>
      <c r="E596" s="8">
        <f>IFERROR(VLOOKUP(B596,'Commission Rates'!$A:$C,3,FALSE),0)</f>
        <v>0</v>
      </c>
      <c r="F596" s="8" t="str">
        <f>IF(B596="","",D596*E596)</f>
        <v/>
      </c>
      <c r="H596" t="str">
        <f>IF(A596="","",WEEKNUM(A596,1))</f>
        <v/>
      </c>
      <c r="I596" t="str">
        <f>IFERROR(INDEX('Pay Calendar'!$B$2:$B$10,MATCH(H596,'Pay Calendar'!$A$2:$A$10,0)),"")</f>
        <v/>
      </c>
    </row>
    <row r="597" spans="1:9" x14ac:dyDescent="0.2">
      <c r="A597" s="7"/>
      <c r="C597" t="str">
        <f>IFERROR(VLOOKUP(B597,'Commission Rates'!$A:$C,2,FALSE),"")</f>
        <v/>
      </c>
      <c r="E597" s="8">
        <f>IFERROR(VLOOKUP(B597,'Commission Rates'!$A:$C,3,FALSE),0)</f>
        <v>0</v>
      </c>
      <c r="F597" s="8" t="str">
        <f>IF(B597="","",D597*E597)</f>
        <v/>
      </c>
      <c r="H597" t="str">
        <f>IF(A597="","",WEEKNUM(A597,1))</f>
        <v/>
      </c>
      <c r="I597" t="str">
        <f>IFERROR(INDEX('Pay Calendar'!$B$2:$B$10,MATCH(H597,'Pay Calendar'!$A$2:$A$10,0)),"")</f>
        <v/>
      </c>
    </row>
    <row r="598" spans="1:9" x14ac:dyDescent="0.2">
      <c r="A598" s="7"/>
      <c r="C598" t="str">
        <f>IFERROR(VLOOKUP(B598,'Commission Rates'!$A:$C,2,FALSE),"")</f>
        <v/>
      </c>
      <c r="E598" s="8">
        <f>IFERROR(VLOOKUP(B598,'Commission Rates'!$A:$C,3,FALSE),0)</f>
        <v>0</v>
      </c>
      <c r="F598" s="8" t="str">
        <f>IF(B598="","",D598*E598)</f>
        <v/>
      </c>
      <c r="H598" t="str">
        <f>IF(A598="","",WEEKNUM(A598,1))</f>
        <v/>
      </c>
      <c r="I598" t="str">
        <f>IFERROR(INDEX('Pay Calendar'!$B$2:$B$10,MATCH(H598,'Pay Calendar'!$A$2:$A$10,0)),"")</f>
        <v/>
      </c>
    </row>
    <row r="599" spans="1:9" x14ac:dyDescent="0.2">
      <c r="A599" s="7"/>
      <c r="C599" t="str">
        <f>IFERROR(VLOOKUP(B599,'Commission Rates'!$A:$C,2,FALSE),"")</f>
        <v/>
      </c>
      <c r="E599" s="8">
        <f>IFERROR(VLOOKUP(B599,'Commission Rates'!$A:$C,3,FALSE),0)</f>
        <v>0</v>
      </c>
      <c r="F599" s="8" t="str">
        <f>IF(B599="","",D599*E599)</f>
        <v/>
      </c>
      <c r="H599" t="str">
        <f>IF(A599="","",WEEKNUM(A599,1))</f>
        <v/>
      </c>
      <c r="I599" t="str">
        <f>IFERROR(INDEX('Pay Calendar'!$B$2:$B$10,MATCH(H599,'Pay Calendar'!$A$2:$A$10,0)),"")</f>
        <v/>
      </c>
    </row>
    <row r="600" spans="1:9" x14ac:dyDescent="0.2">
      <c r="A600" s="7"/>
      <c r="C600" t="str">
        <f>IFERROR(VLOOKUP(B600,'Commission Rates'!$A:$C,2,FALSE),"")</f>
        <v/>
      </c>
      <c r="E600" s="8">
        <f>IFERROR(VLOOKUP(B600,'Commission Rates'!$A:$C,3,FALSE),0)</f>
        <v>0</v>
      </c>
      <c r="F600" s="8" t="str">
        <f>IF(B600="","",D600*E600)</f>
        <v/>
      </c>
      <c r="H600" t="str">
        <f>IF(A600="","",WEEKNUM(A600,1))</f>
        <v/>
      </c>
      <c r="I600" t="str">
        <f>IFERROR(INDEX('Pay Calendar'!$B$2:$B$10,MATCH(H600,'Pay Calendar'!$A$2:$A$10,0)),"")</f>
        <v/>
      </c>
    </row>
    <row r="601" spans="1:9" x14ac:dyDescent="0.2">
      <c r="A601" s="7"/>
      <c r="C601" t="str">
        <f>IFERROR(VLOOKUP(B601,'Commission Rates'!$A:$C,2,FALSE),"")</f>
        <v/>
      </c>
      <c r="E601" s="8">
        <f>IFERROR(VLOOKUP(B601,'Commission Rates'!$A:$C,3,FALSE),0)</f>
        <v>0</v>
      </c>
      <c r="F601" s="8" t="str">
        <f>IF(B601="","",D601*E601)</f>
        <v/>
      </c>
      <c r="H601" t="str">
        <f>IF(A601="","",WEEKNUM(A601,1))</f>
        <v/>
      </c>
      <c r="I601" t="str">
        <f>IFERROR(INDEX('Pay Calendar'!$B$2:$B$10,MATCH(H601,'Pay Calendar'!$A$2:$A$10,0)),"")</f>
        <v/>
      </c>
    </row>
    <row r="602" spans="1:9" x14ac:dyDescent="0.2">
      <c r="A602" s="7"/>
      <c r="C602" t="str">
        <f>IFERROR(VLOOKUP(B602,'Commission Rates'!$A:$C,2,FALSE),"")</f>
        <v/>
      </c>
      <c r="E602" s="8">
        <f>IFERROR(VLOOKUP(B602,'Commission Rates'!$A:$C,3,FALSE),0)</f>
        <v>0</v>
      </c>
      <c r="F602" s="8" t="str">
        <f>IF(B602="","",D602*E602)</f>
        <v/>
      </c>
      <c r="H602" t="str">
        <f>IF(A602="","",WEEKNUM(A602,1))</f>
        <v/>
      </c>
      <c r="I602" t="str">
        <f>IFERROR(INDEX('Pay Calendar'!$B$2:$B$10,MATCH(H602,'Pay Calendar'!$A$2:$A$10,0)),"")</f>
        <v/>
      </c>
    </row>
    <row r="603" spans="1:9" x14ac:dyDescent="0.2">
      <c r="A603" s="7"/>
      <c r="C603" t="str">
        <f>IFERROR(VLOOKUP(B603,'Commission Rates'!$A:$C,2,FALSE),"")</f>
        <v/>
      </c>
      <c r="E603" s="8">
        <f>IFERROR(VLOOKUP(B603,'Commission Rates'!$A:$C,3,FALSE),0)</f>
        <v>0</v>
      </c>
      <c r="F603" s="8" t="str">
        <f>IF(B603="","",D603*E603)</f>
        <v/>
      </c>
      <c r="H603" t="str">
        <f>IF(A603="","",WEEKNUM(A603,1))</f>
        <v/>
      </c>
      <c r="I603" t="str">
        <f>IFERROR(INDEX('Pay Calendar'!$B$2:$B$10,MATCH(H603,'Pay Calendar'!$A$2:$A$10,0)),"")</f>
        <v/>
      </c>
    </row>
    <row r="604" spans="1:9" x14ac:dyDescent="0.2">
      <c r="A604" s="7"/>
      <c r="C604" t="str">
        <f>IFERROR(VLOOKUP(B604,'Commission Rates'!$A:$C,2,FALSE),"")</f>
        <v/>
      </c>
      <c r="E604" s="8">
        <f>IFERROR(VLOOKUP(B604,'Commission Rates'!$A:$C,3,FALSE),0)</f>
        <v>0</v>
      </c>
      <c r="F604" s="8" t="str">
        <f>IF(B604="","",D604*E604)</f>
        <v/>
      </c>
      <c r="H604" t="str">
        <f>IF(A604="","",WEEKNUM(A604,1))</f>
        <v/>
      </c>
      <c r="I604" t="str">
        <f>IFERROR(INDEX('Pay Calendar'!$B$2:$B$10,MATCH(H604,'Pay Calendar'!$A$2:$A$10,0)),"")</f>
        <v/>
      </c>
    </row>
    <row r="605" spans="1:9" x14ac:dyDescent="0.2">
      <c r="A605" s="7"/>
      <c r="C605" t="str">
        <f>IFERROR(VLOOKUP(B605,'Commission Rates'!$A:$C,2,FALSE),"")</f>
        <v/>
      </c>
      <c r="E605" s="8">
        <f>IFERROR(VLOOKUP(B605,'Commission Rates'!$A:$C,3,FALSE),0)</f>
        <v>0</v>
      </c>
      <c r="F605" s="8" t="str">
        <f>IF(B605="","",D605*E605)</f>
        <v/>
      </c>
      <c r="H605" t="str">
        <f>IF(A605="","",WEEKNUM(A605,1))</f>
        <v/>
      </c>
      <c r="I605" t="str">
        <f>IFERROR(INDEX('Pay Calendar'!$B$2:$B$10,MATCH(H605,'Pay Calendar'!$A$2:$A$10,0)),"")</f>
        <v/>
      </c>
    </row>
    <row r="606" spans="1:9" x14ac:dyDescent="0.2">
      <c r="A606" s="7"/>
      <c r="C606" t="str">
        <f>IFERROR(VLOOKUP(B606,'Commission Rates'!$A:$C,2,FALSE),"")</f>
        <v/>
      </c>
      <c r="E606" s="8">
        <f>IFERROR(VLOOKUP(B606,'Commission Rates'!$A:$C,3,FALSE),0)</f>
        <v>0</v>
      </c>
      <c r="F606" s="8" t="str">
        <f>IF(B606="","",D606*E606)</f>
        <v/>
      </c>
      <c r="H606" t="str">
        <f>IF(A606="","",WEEKNUM(A606,1))</f>
        <v/>
      </c>
      <c r="I606" t="str">
        <f>IFERROR(INDEX('Pay Calendar'!$B$2:$B$10,MATCH(H606,'Pay Calendar'!$A$2:$A$10,0)),"")</f>
        <v/>
      </c>
    </row>
    <row r="607" spans="1:9" x14ac:dyDescent="0.2">
      <c r="A607" s="7"/>
      <c r="C607" t="str">
        <f>IFERROR(VLOOKUP(B607,'Commission Rates'!$A:$C,2,FALSE),"")</f>
        <v/>
      </c>
      <c r="E607" s="8">
        <f>IFERROR(VLOOKUP(B607,'Commission Rates'!$A:$C,3,FALSE),0)</f>
        <v>0</v>
      </c>
      <c r="F607" s="8" t="str">
        <f>IF(B607="","",D607*E607)</f>
        <v/>
      </c>
      <c r="H607" t="str">
        <f>IF(A607="","",WEEKNUM(A607,1))</f>
        <v/>
      </c>
      <c r="I607" t="str">
        <f>IFERROR(INDEX('Pay Calendar'!$B$2:$B$10,MATCH(H607,'Pay Calendar'!$A$2:$A$10,0)),"")</f>
        <v/>
      </c>
    </row>
    <row r="608" spans="1:9" x14ac:dyDescent="0.2">
      <c r="A608" s="7"/>
      <c r="C608" t="str">
        <f>IFERROR(VLOOKUP(B608,'Commission Rates'!$A:$C,2,FALSE),"")</f>
        <v/>
      </c>
      <c r="E608" s="8">
        <f>IFERROR(VLOOKUP(B608,'Commission Rates'!$A:$C,3,FALSE),0)</f>
        <v>0</v>
      </c>
      <c r="F608" s="8" t="str">
        <f>IF(B608="","",D608*E608)</f>
        <v/>
      </c>
      <c r="H608" t="str">
        <f>IF(A608="","",WEEKNUM(A608,1))</f>
        <v/>
      </c>
      <c r="I608" t="str">
        <f>IFERROR(INDEX('Pay Calendar'!$B$2:$B$10,MATCH(H608,'Pay Calendar'!$A$2:$A$10,0)),"")</f>
        <v/>
      </c>
    </row>
    <row r="609" spans="1:9" x14ac:dyDescent="0.2">
      <c r="A609" s="7"/>
      <c r="C609" t="str">
        <f>IFERROR(VLOOKUP(B609,'Commission Rates'!$A:$C,2,FALSE),"")</f>
        <v/>
      </c>
      <c r="E609" s="8">
        <f>IFERROR(VLOOKUP(B609,'Commission Rates'!$A:$C,3,FALSE),0)</f>
        <v>0</v>
      </c>
      <c r="F609" s="8" t="str">
        <f>IF(B609="","",D609*E609)</f>
        <v/>
      </c>
      <c r="H609" t="str">
        <f>IF(A609="","",WEEKNUM(A609,1))</f>
        <v/>
      </c>
      <c r="I609" t="str">
        <f>IFERROR(INDEX('Pay Calendar'!$B$2:$B$10,MATCH(H609,'Pay Calendar'!$A$2:$A$10,0)),"")</f>
        <v/>
      </c>
    </row>
    <row r="610" spans="1:9" x14ac:dyDescent="0.2">
      <c r="A610" s="7"/>
      <c r="C610" t="str">
        <f>IFERROR(VLOOKUP(B610,'Commission Rates'!$A:$C,2,FALSE),"")</f>
        <v/>
      </c>
      <c r="E610" s="8">
        <f>IFERROR(VLOOKUP(B610,'Commission Rates'!$A:$C,3,FALSE),0)</f>
        <v>0</v>
      </c>
      <c r="F610" s="8" t="str">
        <f>IF(B610="","",D610*E610)</f>
        <v/>
      </c>
      <c r="H610" t="str">
        <f>IF(A610="","",WEEKNUM(A610,1))</f>
        <v/>
      </c>
      <c r="I610" t="str">
        <f>IFERROR(INDEX('Pay Calendar'!$B$2:$B$10,MATCH(H610,'Pay Calendar'!$A$2:$A$10,0)),"")</f>
        <v/>
      </c>
    </row>
    <row r="611" spans="1:9" x14ac:dyDescent="0.2">
      <c r="A611" s="7"/>
      <c r="C611" t="str">
        <f>IFERROR(VLOOKUP(B611,'Commission Rates'!$A:$C,2,FALSE),"")</f>
        <v/>
      </c>
      <c r="E611" s="8">
        <f>IFERROR(VLOOKUP(B611,'Commission Rates'!$A:$C,3,FALSE),0)</f>
        <v>0</v>
      </c>
      <c r="F611" s="8" t="str">
        <f>IF(B611="","",D611*E611)</f>
        <v/>
      </c>
      <c r="H611" t="str">
        <f>IF(A611="","",WEEKNUM(A611,1))</f>
        <v/>
      </c>
      <c r="I611" t="str">
        <f>IFERROR(INDEX('Pay Calendar'!$B$2:$B$10,MATCH(H611,'Pay Calendar'!$A$2:$A$10,0)),"")</f>
        <v/>
      </c>
    </row>
    <row r="612" spans="1:9" x14ac:dyDescent="0.2">
      <c r="A612" s="7"/>
      <c r="C612" t="str">
        <f>IFERROR(VLOOKUP(B612,'Commission Rates'!$A:$C,2,FALSE),"")</f>
        <v/>
      </c>
      <c r="E612" s="8">
        <f>IFERROR(VLOOKUP(B612,'Commission Rates'!$A:$C,3,FALSE),0)</f>
        <v>0</v>
      </c>
      <c r="F612" s="8" t="str">
        <f>IF(B612="","",D612*E612)</f>
        <v/>
      </c>
      <c r="H612" t="str">
        <f>IF(A612="","",WEEKNUM(A612,1))</f>
        <v/>
      </c>
      <c r="I612" t="str">
        <f>IFERROR(INDEX('Pay Calendar'!$B$2:$B$10,MATCH(H612,'Pay Calendar'!$A$2:$A$10,0)),"")</f>
        <v/>
      </c>
    </row>
    <row r="613" spans="1:9" x14ac:dyDescent="0.2">
      <c r="A613" s="7"/>
      <c r="C613" t="str">
        <f>IFERROR(VLOOKUP(B613,'Commission Rates'!$A:$C,2,FALSE),"")</f>
        <v/>
      </c>
      <c r="E613" s="8">
        <f>IFERROR(VLOOKUP(B613,'Commission Rates'!$A:$C,3,FALSE),0)</f>
        <v>0</v>
      </c>
      <c r="F613" s="8" t="str">
        <f>IF(B613="","",D613*E613)</f>
        <v/>
      </c>
      <c r="H613" t="str">
        <f>IF(A613="","",WEEKNUM(A613,1))</f>
        <v/>
      </c>
      <c r="I613" t="str">
        <f>IFERROR(INDEX('Pay Calendar'!$B$2:$B$10,MATCH(H613,'Pay Calendar'!$A$2:$A$10,0)),"")</f>
        <v/>
      </c>
    </row>
    <row r="614" spans="1:9" x14ac:dyDescent="0.2">
      <c r="A614" s="7"/>
      <c r="C614" t="str">
        <f>IFERROR(VLOOKUP(B614,'Commission Rates'!$A:$C,2,FALSE),"")</f>
        <v/>
      </c>
      <c r="E614" s="8">
        <f>IFERROR(VLOOKUP(B614,'Commission Rates'!$A:$C,3,FALSE),0)</f>
        <v>0</v>
      </c>
      <c r="F614" s="8" t="str">
        <f>IF(B614="","",D614*E614)</f>
        <v/>
      </c>
      <c r="H614" t="str">
        <f>IF(A614="","",WEEKNUM(A614,1))</f>
        <v/>
      </c>
      <c r="I614" t="str">
        <f>IFERROR(INDEX('Pay Calendar'!$B$2:$B$10,MATCH(H614,'Pay Calendar'!$A$2:$A$10,0)),"")</f>
        <v/>
      </c>
    </row>
    <row r="615" spans="1:9" x14ac:dyDescent="0.2">
      <c r="A615" s="7"/>
      <c r="C615" t="str">
        <f>IFERROR(VLOOKUP(B615,'Commission Rates'!$A:$C,2,FALSE),"")</f>
        <v/>
      </c>
      <c r="E615" s="8">
        <f>IFERROR(VLOOKUP(B615,'Commission Rates'!$A:$C,3,FALSE),0)</f>
        <v>0</v>
      </c>
      <c r="F615" s="8" t="str">
        <f>IF(B615="","",D615*E615)</f>
        <v/>
      </c>
      <c r="H615" t="str">
        <f>IF(A615="","",WEEKNUM(A615,1))</f>
        <v/>
      </c>
      <c r="I615" t="str">
        <f>IFERROR(INDEX('Pay Calendar'!$B$2:$B$10,MATCH(H615,'Pay Calendar'!$A$2:$A$10,0)),"")</f>
        <v/>
      </c>
    </row>
    <row r="616" spans="1:9" x14ac:dyDescent="0.2">
      <c r="A616" s="7"/>
      <c r="C616" t="str">
        <f>IFERROR(VLOOKUP(B616,'Commission Rates'!$A:$C,2,FALSE),"")</f>
        <v/>
      </c>
      <c r="E616" s="8">
        <f>IFERROR(VLOOKUP(B616,'Commission Rates'!$A:$C,3,FALSE),0)</f>
        <v>0</v>
      </c>
      <c r="F616" s="8" t="str">
        <f>IF(B616="","",D616*E616)</f>
        <v/>
      </c>
      <c r="H616" t="str">
        <f>IF(A616="","",WEEKNUM(A616,1))</f>
        <v/>
      </c>
      <c r="I616" t="str">
        <f>IFERROR(INDEX('Pay Calendar'!$B$2:$B$10,MATCH(H616,'Pay Calendar'!$A$2:$A$10,0)),"")</f>
        <v/>
      </c>
    </row>
    <row r="617" spans="1:9" x14ac:dyDescent="0.2">
      <c r="A617" s="7"/>
      <c r="C617" t="str">
        <f>IFERROR(VLOOKUP(B617,'Commission Rates'!$A:$C,2,FALSE),"")</f>
        <v/>
      </c>
      <c r="E617" s="8">
        <f>IFERROR(VLOOKUP(B617,'Commission Rates'!$A:$C,3,FALSE),0)</f>
        <v>0</v>
      </c>
      <c r="F617" s="8" t="str">
        <f>IF(B617="","",D617*E617)</f>
        <v/>
      </c>
      <c r="H617" t="str">
        <f>IF(A617="","",WEEKNUM(A617,1))</f>
        <v/>
      </c>
      <c r="I617" t="str">
        <f>IFERROR(INDEX('Pay Calendar'!$B$2:$B$10,MATCH(H617,'Pay Calendar'!$A$2:$A$10,0)),"")</f>
        <v/>
      </c>
    </row>
    <row r="618" spans="1:9" x14ac:dyDescent="0.2">
      <c r="A618" s="7"/>
      <c r="C618" t="str">
        <f>IFERROR(VLOOKUP(B618,'Commission Rates'!$A:$C,2,FALSE),"")</f>
        <v/>
      </c>
      <c r="E618" s="8">
        <f>IFERROR(VLOOKUP(B618,'Commission Rates'!$A:$C,3,FALSE),0)</f>
        <v>0</v>
      </c>
      <c r="F618" s="8" t="str">
        <f>IF(B618="","",D618*E618)</f>
        <v/>
      </c>
      <c r="H618" t="str">
        <f>IF(A618="","",WEEKNUM(A618,1))</f>
        <v/>
      </c>
      <c r="I618" t="str">
        <f>IFERROR(INDEX('Pay Calendar'!$B$2:$B$10,MATCH(H618,'Pay Calendar'!$A$2:$A$10,0)),"")</f>
        <v/>
      </c>
    </row>
    <row r="619" spans="1:9" x14ac:dyDescent="0.2">
      <c r="A619" s="7"/>
      <c r="C619" t="str">
        <f>IFERROR(VLOOKUP(B619,'Commission Rates'!$A:$C,2,FALSE),"")</f>
        <v/>
      </c>
      <c r="E619" s="8">
        <f>IFERROR(VLOOKUP(B619,'Commission Rates'!$A:$C,3,FALSE),0)</f>
        <v>0</v>
      </c>
      <c r="F619" s="8" t="str">
        <f>IF(B619="","",D619*E619)</f>
        <v/>
      </c>
      <c r="H619" t="str">
        <f>IF(A619="","",WEEKNUM(A619,1))</f>
        <v/>
      </c>
      <c r="I619" t="str">
        <f>IFERROR(INDEX('Pay Calendar'!$B$2:$B$10,MATCH(H619,'Pay Calendar'!$A$2:$A$10,0)),"")</f>
        <v/>
      </c>
    </row>
    <row r="620" spans="1:9" x14ac:dyDescent="0.2">
      <c r="A620" s="7"/>
      <c r="C620" t="str">
        <f>IFERROR(VLOOKUP(B620,'Commission Rates'!$A:$C,2,FALSE),"")</f>
        <v/>
      </c>
      <c r="E620" s="8">
        <f>IFERROR(VLOOKUP(B620,'Commission Rates'!$A:$C,3,FALSE),0)</f>
        <v>0</v>
      </c>
      <c r="F620" s="8" t="str">
        <f>IF(B620="","",D620*E620)</f>
        <v/>
      </c>
      <c r="H620" t="str">
        <f>IF(A620="","",WEEKNUM(A620,1))</f>
        <v/>
      </c>
      <c r="I620" t="str">
        <f>IFERROR(INDEX('Pay Calendar'!$B$2:$B$10,MATCH(H620,'Pay Calendar'!$A$2:$A$10,0)),"")</f>
        <v/>
      </c>
    </row>
    <row r="621" spans="1:9" x14ac:dyDescent="0.2">
      <c r="A621" s="7"/>
      <c r="C621" t="str">
        <f>IFERROR(VLOOKUP(B621,'Commission Rates'!$A:$C,2,FALSE),"")</f>
        <v/>
      </c>
      <c r="E621" s="8">
        <f>IFERROR(VLOOKUP(B621,'Commission Rates'!$A:$C,3,FALSE),0)</f>
        <v>0</v>
      </c>
      <c r="F621" s="8" t="str">
        <f>IF(B621="","",D621*E621)</f>
        <v/>
      </c>
      <c r="H621" t="str">
        <f>IF(A621="","",WEEKNUM(A621,1))</f>
        <v/>
      </c>
      <c r="I621" t="str">
        <f>IFERROR(INDEX('Pay Calendar'!$B$2:$B$10,MATCH(H621,'Pay Calendar'!$A$2:$A$10,0)),"")</f>
        <v/>
      </c>
    </row>
    <row r="622" spans="1:9" x14ac:dyDescent="0.2">
      <c r="A622" s="7"/>
      <c r="C622" t="str">
        <f>IFERROR(VLOOKUP(B622,'Commission Rates'!$A:$C,2,FALSE),"")</f>
        <v/>
      </c>
      <c r="E622" s="8">
        <f>IFERROR(VLOOKUP(B622,'Commission Rates'!$A:$C,3,FALSE),0)</f>
        <v>0</v>
      </c>
      <c r="F622" s="8" t="str">
        <f>IF(B622="","",D622*E622)</f>
        <v/>
      </c>
      <c r="H622" t="str">
        <f>IF(A622="","",WEEKNUM(A622,1))</f>
        <v/>
      </c>
      <c r="I622" t="str">
        <f>IFERROR(INDEX('Pay Calendar'!$B$2:$B$10,MATCH(H622,'Pay Calendar'!$A$2:$A$10,0)),"")</f>
        <v/>
      </c>
    </row>
    <row r="623" spans="1:9" x14ac:dyDescent="0.2">
      <c r="A623" s="7"/>
      <c r="C623" t="str">
        <f>IFERROR(VLOOKUP(B623,'Commission Rates'!$A:$C,2,FALSE),"")</f>
        <v/>
      </c>
      <c r="E623" s="8">
        <f>IFERROR(VLOOKUP(B623,'Commission Rates'!$A:$C,3,FALSE),0)</f>
        <v>0</v>
      </c>
      <c r="F623" s="8" t="str">
        <f>IF(B623="","",D623*E623)</f>
        <v/>
      </c>
      <c r="H623" t="str">
        <f>IF(A623="","",WEEKNUM(A623,1))</f>
        <v/>
      </c>
      <c r="I623" t="str">
        <f>IFERROR(INDEX('Pay Calendar'!$B$2:$B$10,MATCH(H623,'Pay Calendar'!$A$2:$A$10,0)),"")</f>
        <v/>
      </c>
    </row>
    <row r="624" spans="1:9" x14ac:dyDescent="0.2">
      <c r="A624" s="7"/>
      <c r="C624" t="str">
        <f>IFERROR(VLOOKUP(B624,'Commission Rates'!$A:$C,2,FALSE),"")</f>
        <v/>
      </c>
      <c r="E624" s="8">
        <f>IFERROR(VLOOKUP(B624,'Commission Rates'!$A:$C,3,FALSE),0)</f>
        <v>0</v>
      </c>
      <c r="F624" s="8" t="str">
        <f>IF(B624="","",D624*E624)</f>
        <v/>
      </c>
      <c r="H624" t="str">
        <f>IF(A624="","",WEEKNUM(A624,1))</f>
        <v/>
      </c>
      <c r="I624" t="str">
        <f>IFERROR(INDEX('Pay Calendar'!$B$2:$B$10,MATCH(H624,'Pay Calendar'!$A$2:$A$10,0)),"")</f>
        <v/>
      </c>
    </row>
    <row r="625" spans="1:9" x14ac:dyDescent="0.2">
      <c r="A625" s="7"/>
      <c r="C625" t="str">
        <f>IFERROR(VLOOKUP(B625,'Commission Rates'!$A:$C,2,FALSE),"")</f>
        <v/>
      </c>
      <c r="E625" s="8">
        <f>IFERROR(VLOOKUP(B625,'Commission Rates'!$A:$C,3,FALSE),0)</f>
        <v>0</v>
      </c>
      <c r="F625" s="8" t="str">
        <f>IF(B625="","",D625*E625)</f>
        <v/>
      </c>
      <c r="H625" t="str">
        <f>IF(A625="","",WEEKNUM(A625,1))</f>
        <v/>
      </c>
      <c r="I625" t="str">
        <f>IFERROR(INDEX('Pay Calendar'!$B$2:$B$10,MATCH(H625,'Pay Calendar'!$A$2:$A$10,0)),"")</f>
        <v/>
      </c>
    </row>
    <row r="626" spans="1:9" x14ac:dyDescent="0.2">
      <c r="A626" s="7"/>
      <c r="C626" t="str">
        <f>IFERROR(VLOOKUP(B626,'Commission Rates'!$A:$C,2,FALSE),"")</f>
        <v/>
      </c>
      <c r="E626" s="8">
        <f>IFERROR(VLOOKUP(B626,'Commission Rates'!$A:$C,3,FALSE),0)</f>
        <v>0</v>
      </c>
      <c r="F626" s="8" t="str">
        <f>IF(B626="","",D626*E626)</f>
        <v/>
      </c>
      <c r="H626" t="str">
        <f>IF(A626="","",WEEKNUM(A626,1))</f>
        <v/>
      </c>
      <c r="I626" t="str">
        <f>IFERROR(INDEX('Pay Calendar'!$B$2:$B$10,MATCH(H626,'Pay Calendar'!$A$2:$A$10,0)),"")</f>
        <v/>
      </c>
    </row>
    <row r="627" spans="1:9" x14ac:dyDescent="0.2">
      <c r="A627" s="7"/>
      <c r="C627" t="str">
        <f>IFERROR(VLOOKUP(B627,'Commission Rates'!$A:$C,2,FALSE),"")</f>
        <v/>
      </c>
      <c r="E627" s="8">
        <f>IFERROR(VLOOKUP(B627,'Commission Rates'!$A:$C,3,FALSE),0)</f>
        <v>0</v>
      </c>
      <c r="F627" s="8" t="str">
        <f>IF(B627="","",D627*E627)</f>
        <v/>
      </c>
      <c r="H627" t="str">
        <f>IF(A627="","",WEEKNUM(A627,1))</f>
        <v/>
      </c>
      <c r="I627" t="str">
        <f>IFERROR(INDEX('Pay Calendar'!$B$2:$B$10,MATCH(H627,'Pay Calendar'!$A$2:$A$10,0)),"")</f>
        <v/>
      </c>
    </row>
    <row r="628" spans="1:9" x14ac:dyDescent="0.2">
      <c r="A628" s="7"/>
      <c r="C628" t="str">
        <f>IFERROR(VLOOKUP(B628,'Commission Rates'!$A:$C,2,FALSE),"")</f>
        <v/>
      </c>
      <c r="E628" s="8">
        <f>IFERROR(VLOOKUP(B628,'Commission Rates'!$A:$C,3,FALSE),0)</f>
        <v>0</v>
      </c>
      <c r="F628" s="8" t="str">
        <f>IF(B628="","",D628*E628)</f>
        <v/>
      </c>
      <c r="H628" t="str">
        <f>IF(A628="","",WEEKNUM(A628,1))</f>
        <v/>
      </c>
      <c r="I628" t="str">
        <f>IFERROR(INDEX('Pay Calendar'!$B$2:$B$10,MATCH(H628,'Pay Calendar'!$A$2:$A$10,0)),"")</f>
        <v/>
      </c>
    </row>
    <row r="629" spans="1:9" x14ac:dyDescent="0.2">
      <c r="A629" s="7"/>
      <c r="C629" t="str">
        <f>IFERROR(VLOOKUP(B629,'Commission Rates'!$A:$C,2,FALSE),"")</f>
        <v/>
      </c>
      <c r="E629" s="8">
        <f>IFERROR(VLOOKUP(B629,'Commission Rates'!$A:$C,3,FALSE),0)</f>
        <v>0</v>
      </c>
      <c r="F629" s="8" t="str">
        <f>IF(B629="","",D629*E629)</f>
        <v/>
      </c>
      <c r="H629" t="str">
        <f>IF(A629="","",WEEKNUM(A629,1))</f>
        <v/>
      </c>
      <c r="I629" t="str">
        <f>IFERROR(INDEX('Pay Calendar'!$B$2:$B$10,MATCH(H629,'Pay Calendar'!$A$2:$A$10,0)),"")</f>
        <v/>
      </c>
    </row>
    <row r="630" spans="1:9" x14ac:dyDescent="0.2">
      <c r="A630" s="7"/>
      <c r="C630" t="str">
        <f>IFERROR(VLOOKUP(B630,'Commission Rates'!$A:$C,2,FALSE),"")</f>
        <v/>
      </c>
      <c r="E630" s="8">
        <f>IFERROR(VLOOKUP(B630,'Commission Rates'!$A:$C,3,FALSE),0)</f>
        <v>0</v>
      </c>
      <c r="F630" s="8" t="str">
        <f>IF(B630="","",D630*E630)</f>
        <v/>
      </c>
      <c r="H630" t="str">
        <f>IF(A630="","",WEEKNUM(A630,1))</f>
        <v/>
      </c>
      <c r="I630" t="str">
        <f>IFERROR(INDEX('Pay Calendar'!$B$2:$B$10,MATCH(H630,'Pay Calendar'!$A$2:$A$10,0)),"")</f>
        <v/>
      </c>
    </row>
    <row r="631" spans="1:9" x14ac:dyDescent="0.2">
      <c r="A631" s="7"/>
      <c r="C631" t="str">
        <f>IFERROR(VLOOKUP(B631,'Commission Rates'!$A:$C,2,FALSE),"")</f>
        <v/>
      </c>
      <c r="E631" s="8">
        <f>IFERROR(VLOOKUP(B631,'Commission Rates'!$A:$C,3,FALSE),0)</f>
        <v>0</v>
      </c>
      <c r="F631" s="8" t="str">
        <f>IF(B631="","",D631*E631)</f>
        <v/>
      </c>
      <c r="H631" t="str">
        <f>IF(A631="","",WEEKNUM(A631,1))</f>
        <v/>
      </c>
      <c r="I631" t="str">
        <f>IFERROR(INDEX('Pay Calendar'!$B$2:$B$10,MATCH(H631,'Pay Calendar'!$A$2:$A$10,0)),"")</f>
        <v/>
      </c>
    </row>
    <row r="632" spans="1:9" x14ac:dyDescent="0.2">
      <c r="A632" s="7"/>
      <c r="C632" t="str">
        <f>IFERROR(VLOOKUP(B632,'Commission Rates'!$A:$C,2,FALSE),"")</f>
        <v/>
      </c>
      <c r="E632" s="8">
        <f>IFERROR(VLOOKUP(B632,'Commission Rates'!$A:$C,3,FALSE),0)</f>
        <v>0</v>
      </c>
      <c r="F632" s="8" t="str">
        <f>IF(B632="","",D632*E632)</f>
        <v/>
      </c>
      <c r="H632" t="str">
        <f>IF(A632="","",WEEKNUM(A632,1))</f>
        <v/>
      </c>
      <c r="I632" t="str">
        <f>IFERROR(INDEX('Pay Calendar'!$B$2:$B$10,MATCH(H632,'Pay Calendar'!$A$2:$A$10,0)),"")</f>
        <v/>
      </c>
    </row>
    <row r="633" spans="1:9" x14ac:dyDescent="0.2">
      <c r="A633" s="7"/>
      <c r="C633" t="str">
        <f>IFERROR(VLOOKUP(B633,'Commission Rates'!$A:$C,2,FALSE),"")</f>
        <v/>
      </c>
      <c r="E633" s="8">
        <f>IFERROR(VLOOKUP(B633,'Commission Rates'!$A:$C,3,FALSE),0)</f>
        <v>0</v>
      </c>
      <c r="F633" s="8" t="str">
        <f>IF(B633="","",D633*E633)</f>
        <v/>
      </c>
      <c r="H633" t="str">
        <f>IF(A633="","",WEEKNUM(A633,1))</f>
        <v/>
      </c>
      <c r="I633" t="str">
        <f>IFERROR(INDEX('Pay Calendar'!$B$2:$B$10,MATCH(H633,'Pay Calendar'!$A$2:$A$10,0)),"")</f>
        <v/>
      </c>
    </row>
    <row r="634" spans="1:9" x14ac:dyDescent="0.2">
      <c r="A634" s="7"/>
      <c r="C634" t="str">
        <f>IFERROR(VLOOKUP(B634,'Commission Rates'!$A:$C,2,FALSE),"")</f>
        <v/>
      </c>
      <c r="E634" s="8">
        <f>IFERROR(VLOOKUP(B634,'Commission Rates'!$A:$C,3,FALSE),0)</f>
        <v>0</v>
      </c>
      <c r="F634" s="8" t="str">
        <f>IF(B634="","",D634*E634)</f>
        <v/>
      </c>
      <c r="H634" t="str">
        <f>IF(A634="","",WEEKNUM(A634,1))</f>
        <v/>
      </c>
      <c r="I634" t="str">
        <f>IFERROR(INDEX('Pay Calendar'!$B$2:$B$10,MATCH(H634,'Pay Calendar'!$A$2:$A$10,0)),"")</f>
        <v/>
      </c>
    </row>
    <row r="635" spans="1:9" x14ac:dyDescent="0.2">
      <c r="A635" s="7"/>
      <c r="C635" t="str">
        <f>IFERROR(VLOOKUP(B635,'Commission Rates'!$A:$C,2,FALSE),"")</f>
        <v/>
      </c>
      <c r="E635" s="8">
        <f>IFERROR(VLOOKUP(B635,'Commission Rates'!$A:$C,3,FALSE),0)</f>
        <v>0</v>
      </c>
      <c r="F635" s="8" t="str">
        <f>IF(B635="","",D635*E635)</f>
        <v/>
      </c>
      <c r="H635" t="str">
        <f>IF(A635="","",WEEKNUM(A635,1))</f>
        <v/>
      </c>
      <c r="I635" t="str">
        <f>IFERROR(INDEX('Pay Calendar'!$B$2:$B$10,MATCH(H635,'Pay Calendar'!$A$2:$A$10,0)),"")</f>
        <v/>
      </c>
    </row>
    <row r="636" spans="1:9" x14ac:dyDescent="0.2">
      <c r="A636" s="7"/>
      <c r="C636" t="str">
        <f>IFERROR(VLOOKUP(B636,'Commission Rates'!$A:$C,2,FALSE),"")</f>
        <v/>
      </c>
      <c r="E636" s="8">
        <f>IFERROR(VLOOKUP(B636,'Commission Rates'!$A:$C,3,FALSE),0)</f>
        <v>0</v>
      </c>
      <c r="F636" s="8" t="str">
        <f>IF(B636="","",D636*E636)</f>
        <v/>
      </c>
      <c r="H636" t="str">
        <f>IF(A636="","",WEEKNUM(A636,1))</f>
        <v/>
      </c>
      <c r="I636" t="str">
        <f>IFERROR(INDEX('Pay Calendar'!$B$2:$B$10,MATCH(H636,'Pay Calendar'!$A$2:$A$10,0)),"")</f>
        <v/>
      </c>
    </row>
    <row r="637" spans="1:9" x14ac:dyDescent="0.2">
      <c r="A637" s="7"/>
      <c r="C637" t="str">
        <f>IFERROR(VLOOKUP(B637,'Commission Rates'!$A:$C,2,FALSE),"")</f>
        <v/>
      </c>
      <c r="E637" s="8">
        <f>IFERROR(VLOOKUP(B637,'Commission Rates'!$A:$C,3,FALSE),0)</f>
        <v>0</v>
      </c>
      <c r="F637" s="8" t="str">
        <f>IF(B637="","",D637*E637)</f>
        <v/>
      </c>
      <c r="H637" t="str">
        <f>IF(A637="","",WEEKNUM(A637,1))</f>
        <v/>
      </c>
      <c r="I637" t="str">
        <f>IFERROR(INDEX('Pay Calendar'!$B$2:$B$10,MATCH(H637,'Pay Calendar'!$A$2:$A$10,0)),"")</f>
        <v/>
      </c>
    </row>
    <row r="638" spans="1:9" x14ac:dyDescent="0.2">
      <c r="A638" s="7"/>
      <c r="C638" t="str">
        <f>IFERROR(VLOOKUP(B638,'Commission Rates'!$A:$C,2,FALSE),"")</f>
        <v/>
      </c>
      <c r="E638" s="8">
        <f>IFERROR(VLOOKUP(B638,'Commission Rates'!$A:$C,3,FALSE),0)</f>
        <v>0</v>
      </c>
      <c r="F638" s="8" t="str">
        <f>IF(B638="","",D638*E638)</f>
        <v/>
      </c>
      <c r="H638" t="str">
        <f>IF(A638="","",WEEKNUM(A638,1))</f>
        <v/>
      </c>
      <c r="I638" t="str">
        <f>IFERROR(INDEX('Pay Calendar'!$B$2:$B$10,MATCH(H638,'Pay Calendar'!$A$2:$A$10,0)),"")</f>
        <v/>
      </c>
    </row>
    <row r="639" spans="1:9" x14ac:dyDescent="0.2">
      <c r="A639" s="7"/>
      <c r="C639" t="str">
        <f>IFERROR(VLOOKUP(B639,'Commission Rates'!$A:$C,2,FALSE),"")</f>
        <v/>
      </c>
      <c r="E639" s="8">
        <f>IFERROR(VLOOKUP(B639,'Commission Rates'!$A:$C,3,FALSE),0)</f>
        <v>0</v>
      </c>
      <c r="F639" s="8" t="str">
        <f>IF(B639="","",D639*E639)</f>
        <v/>
      </c>
      <c r="H639" t="str">
        <f>IF(A639="","",WEEKNUM(A639,1))</f>
        <v/>
      </c>
      <c r="I639" t="str">
        <f>IFERROR(INDEX('Pay Calendar'!$B$2:$B$10,MATCH(H639,'Pay Calendar'!$A$2:$A$10,0)),"")</f>
        <v/>
      </c>
    </row>
    <row r="640" spans="1:9" x14ac:dyDescent="0.2">
      <c r="A640" s="7"/>
      <c r="C640" t="str">
        <f>IFERROR(VLOOKUP(B640,'Commission Rates'!$A:$C,2,FALSE),"")</f>
        <v/>
      </c>
      <c r="E640" s="8">
        <f>IFERROR(VLOOKUP(B640,'Commission Rates'!$A:$C,3,FALSE),0)</f>
        <v>0</v>
      </c>
      <c r="F640" s="8" t="str">
        <f>IF(B640="","",D640*E640)</f>
        <v/>
      </c>
      <c r="H640" t="str">
        <f>IF(A640="","",WEEKNUM(A640,1))</f>
        <v/>
      </c>
      <c r="I640" t="str">
        <f>IFERROR(INDEX('Pay Calendar'!$B$2:$B$10,MATCH(H640,'Pay Calendar'!$A$2:$A$10,0)),"")</f>
        <v/>
      </c>
    </row>
    <row r="641" spans="1:9" x14ac:dyDescent="0.2">
      <c r="A641" s="7"/>
      <c r="C641" t="str">
        <f>IFERROR(VLOOKUP(B641,'Commission Rates'!$A:$C,2,FALSE),"")</f>
        <v/>
      </c>
      <c r="E641" s="8">
        <f>IFERROR(VLOOKUP(B641,'Commission Rates'!$A:$C,3,FALSE),0)</f>
        <v>0</v>
      </c>
      <c r="F641" s="8" t="str">
        <f>IF(B641="","",D641*E641)</f>
        <v/>
      </c>
      <c r="H641" t="str">
        <f>IF(A641="","",WEEKNUM(A641,1))</f>
        <v/>
      </c>
      <c r="I641" t="str">
        <f>IFERROR(INDEX('Pay Calendar'!$B$2:$B$10,MATCH(H641,'Pay Calendar'!$A$2:$A$10,0)),"")</f>
        <v/>
      </c>
    </row>
    <row r="642" spans="1:9" x14ac:dyDescent="0.2">
      <c r="A642" s="7"/>
      <c r="C642" t="str">
        <f>IFERROR(VLOOKUP(B642,'Commission Rates'!$A:$C,2,FALSE),"")</f>
        <v/>
      </c>
      <c r="E642" s="8">
        <f>IFERROR(VLOOKUP(B642,'Commission Rates'!$A:$C,3,FALSE),0)</f>
        <v>0</v>
      </c>
      <c r="F642" s="8" t="str">
        <f>IF(B642="","",D642*E642)</f>
        <v/>
      </c>
      <c r="H642" t="str">
        <f>IF(A642="","",WEEKNUM(A642,1))</f>
        <v/>
      </c>
      <c r="I642" t="str">
        <f>IFERROR(INDEX('Pay Calendar'!$B$2:$B$10,MATCH(H642,'Pay Calendar'!$A$2:$A$10,0)),"")</f>
        <v/>
      </c>
    </row>
    <row r="643" spans="1:9" x14ac:dyDescent="0.2">
      <c r="A643" s="7"/>
      <c r="C643" t="str">
        <f>IFERROR(VLOOKUP(B643,'Commission Rates'!$A:$C,2,FALSE),"")</f>
        <v/>
      </c>
      <c r="E643" s="8">
        <f>IFERROR(VLOOKUP(B643,'Commission Rates'!$A:$C,3,FALSE),0)</f>
        <v>0</v>
      </c>
      <c r="F643" s="8" t="str">
        <f>IF(B643="","",D643*E643)</f>
        <v/>
      </c>
      <c r="H643" t="str">
        <f>IF(A643="","",WEEKNUM(A643,1))</f>
        <v/>
      </c>
      <c r="I643" t="str">
        <f>IFERROR(INDEX('Pay Calendar'!$B$2:$B$10,MATCH(H643,'Pay Calendar'!$A$2:$A$10,0)),"")</f>
        <v/>
      </c>
    </row>
    <row r="644" spans="1:9" x14ac:dyDescent="0.2">
      <c r="A644" s="7"/>
      <c r="C644" t="str">
        <f>IFERROR(VLOOKUP(B644,'Commission Rates'!$A:$C,2,FALSE),"")</f>
        <v/>
      </c>
      <c r="E644" s="8">
        <f>IFERROR(VLOOKUP(B644,'Commission Rates'!$A:$C,3,FALSE),0)</f>
        <v>0</v>
      </c>
      <c r="F644" s="8" t="str">
        <f>IF(B644="","",D644*E644)</f>
        <v/>
      </c>
      <c r="H644" t="str">
        <f>IF(A644="","",WEEKNUM(A644,1))</f>
        <v/>
      </c>
      <c r="I644" t="str">
        <f>IFERROR(INDEX('Pay Calendar'!$B$2:$B$10,MATCH(H644,'Pay Calendar'!$A$2:$A$10,0)),"")</f>
        <v/>
      </c>
    </row>
    <row r="645" spans="1:9" x14ac:dyDescent="0.2">
      <c r="A645" s="7"/>
      <c r="C645" t="str">
        <f>IFERROR(VLOOKUP(B645,'Commission Rates'!$A:$C,2,FALSE),"")</f>
        <v/>
      </c>
      <c r="E645" s="8">
        <f>IFERROR(VLOOKUP(B645,'Commission Rates'!$A:$C,3,FALSE),0)</f>
        <v>0</v>
      </c>
      <c r="F645" s="8" t="str">
        <f>IF(B645="","",D645*E645)</f>
        <v/>
      </c>
      <c r="H645" t="str">
        <f>IF(A645="","",WEEKNUM(A645,1))</f>
        <v/>
      </c>
      <c r="I645" t="str">
        <f>IFERROR(INDEX('Pay Calendar'!$B$2:$B$10,MATCH(H645,'Pay Calendar'!$A$2:$A$10,0)),"")</f>
        <v/>
      </c>
    </row>
    <row r="646" spans="1:9" x14ac:dyDescent="0.2">
      <c r="A646" s="7"/>
      <c r="C646" t="str">
        <f>IFERROR(VLOOKUP(B646,'Commission Rates'!$A:$C,2,FALSE),"")</f>
        <v/>
      </c>
      <c r="E646" s="8">
        <f>IFERROR(VLOOKUP(B646,'Commission Rates'!$A:$C,3,FALSE),0)</f>
        <v>0</v>
      </c>
      <c r="F646" s="8" t="str">
        <f>IF(B646="","",D646*E646)</f>
        <v/>
      </c>
      <c r="H646" t="str">
        <f>IF(A646="","",WEEKNUM(A646,1))</f>
        <v/>
      </c>
      <c r="I646" t="str">
        <f>IFERROR(INDEX('Pay Calendar'!$B$2:$B$10,MATCH(H646,'Pay Calendar'!$A$2:$A$10,0)),"")</f>
        <v/>
      </c>
    </row>
    <row r="647" spans="1:9" x14ac:dyDescent="0.2">
      <c r="A647" s="7"/>
      <c r="C647" t="str">
        <f>IFERROR(VLOOKUP(B647,'Commission Rates'!$A:$C,2,FALSE),"")</f>
        <v/>
      </c>
      <c r="E647" s="8">
        <f>IFERROR(VLOOKUP(B647,'Commission Rates'!$A:$C,3,FALSE),0)</f>
        <v>0</v>
      </c>
      <c r="F647" s="8" t="str">
        <f>IF(B647="","",D647*E647)</f>
        <v/>
      </c>
      <c r="H647" t="str">
        <f>IF(A647="","",WEEKNUM(A647,1))</f>
        <v/>
      </c>
      <c r="I647" t="str">
        <f>IFERROR(INDEX('Pay Calendar'!$B$2:$B$10,MATCH(H647,'Pay Calendar'!$A$2:$A$10,0)),"")</f>
        <v/>
      </c>
    </row>
    <row r="648" spans="1:9" x14ac:dyDescent="0.2">
      <c r="A648" s="7"/>
      <c r="C648" t="str">
        <f>IFERROR(VLOOKUP(B648,'Commission Rates'!$A:$C,2,FALSE),"")</f>
        <v/>
      </c>
      <c r="E648" s="8">
        <f>IFERROR(VLOOKUP(B648,'Commission Rates'!$A:$C,3,FALSE),0)</f>
        <v>0</v>
      </c>
      <c r="F648" s="8" t="str">
        <f>IF(B648="","",D648*E648)</f>
        <v/>
      </c>
      <c r="H648" t="str">
        <f>IF(A648="","",WEEKNUM(A648,1))</f>
        <v/>
      </c>
      <c r="I648" t="str">
        <f>IFERROR(INDEX('Pay Calendar'!$B$2:$B$10,MATCH(H648,'Pay Calendar'!$A$2:$A$10,0)),"")</f>
        <v/>
      </c>
    </row>
    <row r="649" spans="1:9" x14ac:dyDescent="0.2">
      <c r="A649" s="7"/>
      <c r="C649" t="str">
        <f>IFERROR(VLOOKUP(B649,'Commission Rates'!$A:$C,2,FALSE),"")</f>
        <v/>
      </c>
      <c r="E649" s="8">
        <f>IFERROR(VLOOKUP(B649,'Commission Rates'!$A:$C,3,FALSE),0)</f>
        <v>0</v>
      </c>
      <c r="F649" s="8" t="str">
        <f>IF(B649="","",D649*E649)</f>
        <v/>
      </c>
      <c r="H649" t="str">
        <f>IF(A649="","",WEEKNUM(A649,1))</f>
        <v/>
      </c>
      <c r="I649" t="str">
        <f>IFERROR(INDEX('Pay Calendar'!$B$2:$B$10,MATCH(H649,'Pay Calendar'!$A$2:$A$10,0)),"")</f>
        <v/>
      </c>
    </row>
    <row r="650" spans="1:9" x14ac:dyDescent="0.2">
      <c r="A650" s="7"/>
      <c r="C650" t="str">
        <f>IFERROR(VLOOKUP(B650,'Commission Rates'!$A:$C,2,FALSE),"")</f>
        <v/>
      </c>
      <c r="E650" s="8">
        <f>IFERROR(VLOOKUP(B650,'Commission Rates'!$A:$C,3,FALSE),0)</f>
        <v>0</v>
      </c>
      <c r="F650" s="8" t="str">
        <f>IF(B650="","",D650*E650)</f>
        <v/>
      </c>
      <c r="H650" t="str">
        <f>IF(A650="","",WEEKNUM(A650,1))</f>
        <v/>
      </c>
      <c r="I650" t="str">
        <f>IFERROR(INDEX('Pay Calendar'!$B$2:$B$10,MATCH(H650,'Pay Calendar'!$A$2:$A$10,0)),"")</f>
        <v/>
      </c>
    </row>
    <row r="651" spans="1:9" x14ac:dyDescent="0.2">
      <c r="A651" s="7"/>
      <c r="C651" t="str">
        <f>IFERROR(VLOOKUP(B651,'Commission Rates'!$A:$C,2,FALSE),"")</f>
        <v/>
      </c>
      <c r="E651" s="8">
        <f>IFERROR(VLOOKUP(B651,'Commission Rates'!$A:$C,3,FALSE),0)</f>
        <v>0</v>
      </c>
      <c r="F651" s="8" t="str">
        <f>IF(B651="","",D651*E651)</f>
        <v/>
      </c>
      <c r="H651" t="str">
        <f>IF(A651="","",WEEKNUM(A651,1))</f>
        <v/>
      </c>
      <c r="I651" t="str">
        <f>IFERROR(INDEX('Pay Calendar'!$B$2:$B$10,MATCH(H651,'Pay Calendar'!$A$2:$A$10,0)),"")</f>
        <v/>
      </c>
    </row>
    <row r="652" spans="1:9" x14ac:dyDescent="0.2">
      <c r="A652" s="7"/>
      <c r="C652" t="str">
        <f>IFERROR(VLOOKUP(B652,'Commission Rates'!$A:$C,2,FALSE),"")</f>
        <v/>
      </c>
      <c r="E652" s="8">
        <f>IFERROR(VLOOKUP(B652,'Commission Rates'!$A:$C,3,FALSE),0)</f>
        <v>0</v>
      </c>
      <c r="F652" s="8" t="str">
        <f>IF(B652="","",D652*E652)</f>
        <v/>
      </c>
      <c r="H652" t="str">
        <f>IF(A652="","",WEEKNUM(A652,1))</f>
        <v/>
      </c>
      <c r="I652" t="str">
        <f>IFERROR(INDEX('Pay Calendar'!$B$2:$B$10,MATCH(H652,'Pay Calendar'!$A$2:$A$10,0)),"")</f>
        <v/>
      </c>
    </row>
    <row r="653" spans="1:9" x14ac:dyDescent="0.2">
      <c r="A653" s="7"/>
      <c r="C653" t="str">
        <f>IFERROR(VLOOKUP(B653,'Commission Rates'!$A:$C,2,FALSE),"")</f>
        <v/>
      </c>
      <c r="E653" s="8">
        <f>IFERROR(VLOOKUP(B653,'Commission Rates'!$A:$C,3,FALSE),0)</f>
        <v>0</v>
      </c>
      <c r="F653" s="8" t="str">
        <f>IF(B653="","",D653*E653)</f>
        <v/>
      </c>
      <c r="H653" t="str">
        <f>IF(A653="","",WEEKNUM(A653,1))</f>
        <v/>
      </c>
      <c r="I653" t="str">
        <f>IFERROR(INDEX('Pay Calendar'!$B$2:$B$10,MATCH(H653,'Pay Calendar'!$A$2:$A$10,0)),"")</f>
        <v/>
      </c>
    </row>
    <row r="654" spans="1:9" x14ac:dyDescent="0.2">
      <c r="A654" s="7"/>
      <c r="C654" t="str">
        <f>IFERROR(VLOOKUP(B654,'Commission Rates'!$A:$C,2,FALSE),"")</f>
        <v/>
      </c>
      <c r="E654" s="8">
        <f>IFERROR(VLOOKUP(B654,'Commission Rates'!$A:$C,3,FALSE),0)</f>
        <v>0</v>
      </c>
      <c r="F654" s="8" t="str">
        <f>IF(B654="","",D654*E654)</f>
        <v/>
      </c>
      <c r="H654" t="str">
        <f>IF(A654="","",WEEKNUM(A654,1))</f>
        <v/>
      </c>
      <c r="I654" t="str">
        <f>IFERROR(INDEX('Pay Calendar'!$B$2:$B$10,MATCH(H654,'Pay Calendar'!$A$2:$A$10,0)),"")</f>
        <v/>
      </c>
    </row>
    <row r="655" spans="1:9" x14ac:dyDescent="0.2">
      <c r="A655" s="7"/>
      <c r="C655" t="str">
        <f>IFERROR(VLOOKUP(B655,'Commission Rates'!$A:$C,2,FALSE),"")</f>
        <v/>
      </c>
      <c r="E655" s="8">
        <f>IFERROR(VLOOKUP(B655,'Commission Rates'!$A:$C,3,FALSE),0)</f>
        <v>0</v>
      </c>
      <c r="F655" s="8" t="str">
        <f>IF(B655="","",D655*E655)</f>
        <v/>
      </c>
      <c r="H655" t="str">
        <f>IF(A655="","",WEEKNUM(A655,1))</f>
        <v/>
      </c>
      <c r="I655" t="str">
        <f>IFERROR(INDEX('Pay Calendar'!$B$2:$B$10,MATCH(H655,'Pay Calendar'!$A$2:$A$10,0)),"")</f>
        <v/>
      </c>
    </row>
    <row r="656" spans="1:9" x14ac:dyDescent="0.2">
      <c r="A656" s="7"/>
      <c r="C656" t="str">
        <f>IFERROR(VLOOKUP(B656,'Commission Rates'!$A:$C,2,FALSE),"")</f>
        <v/>
      </c>
      <c r="E656" s="8">
        <f>IFERROR(VLOOKUP(B656,'Commission Rates'!$A:$C,3,FALSE),0)</f>
        <v>0</v>
      </c>
      <c r="F656" s="8" t="str">
        <f>IF(B656="","",D656*E656)</f>
        <v/>
      </c>
      <c r="H656" t="str">
        <f>IF(A656="","",WEEKNUM(A656,1))</f>
        <v/>
      </c>
      <c r="I656" t="str">
        <f>IFERROR(INDEX('Pay Calendar'!$B$2:$B$10,MATCH(H656,'Pay Calendar'!$A$2:$A$10,0)),"")</f>
        <v/>
      </c>
    </row>
    <row r="657" spans="1:9" x14ac:dyDescent="0.2">
      <c r="A657" s="7"/>
      <c r="C657" t="str">
        <f>IFERROR(VLOOKUP(B657,'Commission Rates'!$A:$C,2,FALSE),"")</f>
        <v/>
      </c>
      <c r="E657" s="8">
        <f>IFERROR(VLOOKUP(B657,'Commission Rates'!$A:$C,3,FALSE),0)</f>
        <v>0</v>
      </c>
      <c r="F657" s="8" t="str">
        <f>IF(B657="","",D657*E657)</f>
        <v/>
      </c>
      <c r="H657" t="str">
        <f>IF(A657="","",WEEKNUM(A657,1))</f>
        <v/>
      </c>
      <c r="I657" t="str">
        <f>IFERROR(INDEX('Pay Calendar'!$B$2:$B$10,MATCH(H657,'Pay Calendar'!$A$2:$A$10,0)),"")</f>
        <v/>
      </c>
    </row>
    <row r="658" spans="1:9" x14ac:dyDescent="0.2">
      <c r="A658" s="7"/>
      <c r="C658" t="str">
        <f>IFERROR(VLOOKUP(B658,'Commission Rates'!$A:$C,2,FALSE),"")</f>
        <v/>
      </c>
      <c r="E658" s="8">
        <f>IFERROR(VLOOKUP(B658,'Commission Rates'!$A:$C,3,FALSE),0)</f>
        <v>0</v>
      </c>
      <c r="F658" s="8" t="str">
        <f>IF(B658="","",D658*E658)</f>
        <v/>
      </c>
      <c r="H658" t="str">
        <f>IF(A658="","",WEEKNUM(A658,1))</f>
        <v/>
      </c>
      <c r="I658" t="str">
        <f>IFERROR(INDEX('Pay Calendar'!$B$2:$B$10,MATCH(H658,'Pay Calendar'!$A$2:$A$10,0)),"")</f>
        <v/>
      </c>
    </row>
    <row r="659" spans="1:9" x14ac:dyDescent="0.2">
      <c r="A659" s="7"/>
      <c r="C659" t="str">
        <f>IFERROR(VLOOKUP(B659,'Commission Rates'!$A:$C,2,FALSE),"")</f>
        <v/>
      </c>
      <c r="E659" s="8">
        <f>IFERROR(VLOOKUP(B659,'Commission Rates'!$A:$C,3,FALSE),0)</f>
        <v>0</v>
      </c>
      <c r="F659" s="8" t="str">
        <f>IF(B659="","",D659*E659)</f>
        <v/>
      </c>
      <c r="H659" t="str">
        <f>IF(A659="","",WEEKNUM(A659,1))</f>
        <v/>
      </c>
      <c r="I659" t="str">
        <f>IFERROR(INDEX('Pay Calendar'!$B$2:$B$10,MATCH(H659,'Pay Calendar'!$A$2:$A$10,0)),"")</f>
        <v/>
      </c>
    </row>
    <row r="660" spans="1:9" x14ac:dyDescent="0.2">
      <c r="A660" s="7"/>
      <c r="C660" t="str">
        <f>IFERROR(VLOOKUP(B660,'Commission Rates'!$A:$C,2,FALSE),"")</f>
        <v/>
      </c>
      <c r="E660" s="8">
        <f>IFERROR(VLOOKUP(B660,'Commission Rates'!$A:$C,3,FALSE),0)</f>
        <v>0</v>
      </c>
      <c r="F660" s="8" t="str">
        <f>IF(B660="","",D660*E660)</f>
        <v/>
      </c>
      <c r="H660" t="str">
        <f>IF(A660="","",WEEKNUM(A660,1))</f>
        <v/>
      </c>
      <c r="I660" t="str">
        <f>IFERROR(INDEX('Pay Calendar'!$B$2:$B$10,MATCH(H660,'Pay Calendar'!$A$2:$A$10,0)),"")</f>
        <v/>
      </c>
    </row>
    <row r="661" spans="1:9" x14ac:dyDescent="0.2">
      <c r="A661" s="7"/>
      <c r="C661" t="str">
        <f>IFERROR(VLOOKUP(B661,'Commission Rates'!$A:$C,2,FALSE),"")</f>
        <v/>
      </c>
      <c r="E661" s="8">
        <f>IFERROR(VLOOKUP(B661,'Commission Rates'!$A:$C,3,FALSE),0)</f>
        <v>0</v>
      </c>
      <c r="F661" s="8" t="str">
        <f>IF(B661="","",D661*E661)</f>
        <v/>
      </c>
      <c r="H661" t="str">
        <f>IF(A661="","",WEEKNUM(A661,1))</f>
        <v/>
      </c>
      <c r="I661" t="str">
        <f>IFERROR(INDEX('Pay Calendar'!$B$2:$B$10,MATCH(H661,'Pay Calendar'!$A$2:$A$10,0)),"")</f>
        <v/>
      </c>
    </row>
    <row r="662" spans="1:9" x14ac:dyDescent="0.2">
      <c r="A662" s="7"/>
      <c r="C662" t="str">
        <f>IFERROR(VLOOKUP(B662,'Commission Rates'!$A:$C,2,FALSE),"")</f>
        <v/>
      </c>
      <c r="E662" s="8">
        <f>IFERROR(VLOOKUP(B662,'Commission Rates'!$A:$C,3,FALSE),0)</f>
        <v>0</v>
      </c>
      <c r="F662" s="8" t="str">
        <f>IF(B662="","",D662*E662)</f>
        <v/>
      </c>
      <c r="H662" t="str">
        <f>IF(A662="","",WEEKNUM(A662,1))</f>
        <v/>
      </c>
      <c r="I662" t="str">
        <f>IFERROR(INDEX('Pay Calendar'!$B$2:$B$10,MATCH(H662,'Pay Calendar'!$A$2:$A$10,0)),"")</f>
        <v/>
      </c>
    </row>
    <row r="663" spans="1:9" x14ac:dyDescent="0.2">
      <c r="A663" s="7"/>
      <c r="C663" t="str">
        <f>IFERROR(VLOOKUP(B663,'Commission Rates'!$A:$C,2,FALSE),"")</f>
        <v/>
      </c>
      <c r="E663" s="8">
        <f>IFERROR(VLOOKUP(B663,'Commission Rates'!$A:$C,3,FALSE),0)</f>
        <v>0</v>
      </c>
      <c r="F663" s="8" t="str">
        <f>IF(B663="","",D663*E663)</f>
        <v/>
      </c>
      <c r="H663" t="str">
        <f>IF(A663="","",WEEKNUM(A663,1))</f>
        <v/>
      </c>
      <c r="I663" t="str">
        <f>IFERROR(INDEX('Pay Calendar'!$B$2:$B$10,MATCH(H663,'Pay Calendar'!$A$2:$A$10,0)),"")</f>
        <v/>
      </c>
    </row>
    <row r="664" spans="1:9" x14ac:dyDescent="0.2">
      <c r="A664" s="7"/>
      <c r="C664" t="str">
        <f>IFERROR(VLOOKUP(B664,'Commission Rates'!$A:$C,2,FALSE),"")</f>
        <v/>
      </c>
      <c r="E664" s="8">
        <f>IFERROR(VLOOKUP(B664,'Commission Rates'!$A:$C,3,FALSE),0)</f>
        <v>0</v>
      </c>
      <c r="F664" s="8" t="str">
        <f>IF(B664="","",D664*E664)</f>
        <v/>
      </c>
      <c r="H664" t="str">
        <f>IF(A664="","",WEEKNUM(A664,1))</f>
        <v/>
      </c>
      <c r="I664" t="str">
        <f>IFERROR(INDEX('Pay Calendar'!$B$2:$B$10,MATCH(H664,'Pay Calendar'!$A$2:$A$10,0)),"")</f>
        <v/>
      </c>
    </row>
    <row r="665" spans="1:9" x14ac:dyDescent="0.2">
      <c r="A665" s="7"/>
      <c r="C665" t="str">
        <f>IFERROR(VLOOKUP(B665,'Commission Rates'!$A:$C,2,FALSE),"")</f>
        <v/>
      </c>
      <c r="E665" s="8">
        <f>IFERROR(VLOOKUP(B665,'Commission Rates'!$A:$C,3,FALSE),0)</f>
        <v>0</v>
      </c>
      <c r="F665" s="8" t="str">
        <f>IF(B665="","",D665*E665)</f>
        <v/>
      </c>
      <c r="H665" t="str">
        <f>IF(A665="","",WEEKNUM(A665,1))</f>
        <v/>
      </c>
      <c r="I665" t="str">
        <f>IFERROR(INDEX('Pay Calendar'!$B$2:$B$10,MATCH(H665,'Pay Calendar'!$A$2:$A$10,0)),"")</f>
        <v/>
      </c>
    </row>
    <row r="666" spans="1:9" x14ac:dyDescent="0.2">
      <c r="A666" s="7"/>
      <c r="C666" t="str">
        <f>IFERROR(VLOOKUP(B666,'Commission Rates'!$A:$C,2,FALSE),"")</f>
        <v/>
      </c>
      <c r="E666" s="8">
        <f>IFERROR(VLOOKUP(B666,'Commission Rates'!$A:$C,3,FALSE),0)</f>
        <v>0</v>
      </c>
      <c r="F666" s="8" t="str">
        <f>IF(B666="","",D666*E666)</f>
        <v/>
      </c>
      <c r="H666" t="str">
        <f>IF(A666="","",WEEKNUM(A666,1))</f>
        <v/>
      </c>
      <c r="I666" t="str">
        <f>IFERROR(INDEX('Pay Calendar'!$B$2:$B$10,MATCH(H666,'Pay Calendar'!$A$2:$A$10,0)),"")</f>
        <v/>
      </c>
    </row>
    <row r="667" spans="1:9" x14ac:dyDescent="0.2">
      <c r="A667" s="7"/>
      <c r="C667" t="str">
        <f>IFERROR(VLOOKUP(B667,'Commission Rates'!$A:$C,2,FALSE),"")</f>
        <v/>
      </c>
      <c r="E667" s="8">
        <f>IFERROR(VLOOKUP(B667,'Commission Rates'!$A:$C,3,FALSE),0)</f>
        <v>0</v>
      </c>
      <c r="F667" s="8" t="str">
        <f>IF(B667="","",D667*E667)</f>
        <v/>
      </c>
      <c r="H667" t="str">
        <f>IF(A667="","",WEEKNUM(A667,1))</f>
        <v/>
      </c>
      <c r="I667" t="str">
        <f>IFERROR(INDEX('Pay Calendar'!$B$2:$B$10,MATCH(H667,'Pay Calendar'!$A$2:$A$10,0)),"")</f>
        <v/>
      </c>
    </row>
    <row r="668" spans="1:9" x14ac:dyDescent="0.2">
      <c r="A668" s="7"/>
      <c r="C668" t="str">
        <f>IFERROR(VLOOKUP(B668,'Commission Rates'!$A:$C,2,FALSE),"")</f>
        <v/>
      </c>
      <c r="E668" s="8">
        <f>IFERROR(VLOOKUP(B668,'Commission Rates'!$A:$C,3,FALSE),0)</f>
        <v>0</v>
      </c>
      <c r="F668" s="8" t="str">
        <f>IF(B668="","",D668*E668)</f>
        <v/>
      </c>
      <c r="H668" t="str">
        <f>IF(A668="","",WEEKNUM(A668,1))</f>
        <v/>
      </c>
      <c r="I668" t="str">
        <f>IFERROR(INDEX('Pay Calendar'!$B$2:$B$10,MATCH(H668,'Pay Calendar'!$A$2:$A$10,0)),"")</f>
        <v/>
      </c>
    </row>
    <row r="669" spans="1:9" x14ac:dyDescent="0.2">
      <c r="A669" s="7"/>
      <c r="C669" t="str">
        <f>IFERROR(VLOOKUP(B669,'Commission Rates'!$A:$C,2,FALSE),"")</f>
        <v/>
      </c>
      <c r="E669" s="8">
        <f>IFERROR(VLOOKUP(B669,'Commission Rates'!$A:$C,3,FALSE),0)</f>
        <v>0</v>
      </c>
      <c r="F669" s="8" t="str">
        <f>IF(B669="","",D669*E669)</f>
        <v/>
      </c>
      <c r="H669" t="str">
        <f>IF(A669="","",WEEKNUM(A669,1))</f>
        <v/>
      </c>
      <c r="I669" t="str">
        <f>IFERROR(INDEX('Pay Calendar'!$B$2:$B$10,MATCH(H669,'Pay Calendar'!$A$2:$A$10,0)),"")</f>
        <v/>
      </c>
    </row>
    <row r="670" spans="1:9" x14ac:dyDescent="0.2">
      <c r="A670" s="7"/>
      <c r="C670" t="str">
        <f>IFERROR(VLOOKUP(B670,'Commission Rates'!$A:$C,2,FALSE),"")</f>
        <v/>
      </c>
      <c r="E670" s="8">
        <f>IFERROR(VLOOKUP(B670,'Commission Rates'!$A:$C,3,FALSE),0)</f>
        <v>0</v>
      </c>
      <c r="F670" s="8" t="str">
        <f>IF(B670="","",D670*E670)</f>
        <v/>
      </c>
      <c r="H670" t="str">
        <f>IF(A670="","",WEEKNUM(A670,1))</f>
        <v/>
      </c>
      <c r="I670" t="str">
        <f>IFERROR(INDEX('Pay Calendar'!$B$2:$B$10,MATCH(H670,'Pay Calendar'!$A$2:$A$10,0)),"")</f>
        <v/>
      </c>
    </row>
    <row r="671" spans="1:9" x14ac:dyDescent="0.2">
      <c r="A671" s="7"/>
      <c r="C671" t="str">
        <f>IFERROR(VLOOKUP(B671,'Commission Rates'!$A:$C,2,FALSE),"")</f>
        <v/>
      </c>
      <c r="E671" s="8">
        <f>IFERROR(VLOOKUP(B671,'Commission Rates'!$A:$C,3,FALSE),0)</f>
        <v>0</v>
      </c>
      <c r="F671" s="8" t="str">
        <f>IF(B671="","",D671*E671)</f>
        <v/>
      </c>
      <c r="H671" t="str">
        <f>IF(A671="","",WEEKNUM(A671,1))</f>
        <v/>
      </c>
      <c r="I671" t="str">
        <f>IFERROR(INDEX('Pay Calendar'!$B$2:$B$10,MATCH(H671,'Pay Calendar'!$A$2:$A$10,0)),"")</f>
        <v/>
      </c>
    </row>
    <row r="672" spans="1:9" x14ac:dyDescent="0.2">
      <c r="A672" s="7"/>
      <c r="C672" t="str">
        <f>IFERROR(VLOOKUP(B672,'Commission Rates'!$A:$C,2,FALSE),"")</f>
        <v/>
      </c>
      <c r="E672" s="8">
        <f>IFERROR(VLOOKUP(B672,'Commission Rates'!$A:$C,3,FALSE),0)</f>
        <v>0</v>
      </c>
      <c r="F672" s="8" t="str">
        <f>IF(B672="","",D672*E672)</f>
        <v/>
      </c>
      <c r="H672" t="str">
        <f>IF(A672="","",WEEKNUM(A672,1))</f>
        <v/>
      </c>
      <c r="I672" t="str">
        <f>IFERROR(INDEX('Pay Calendar'!$B$2:$B$10,MATCH(H672,'Pay Calendar'!$A$2:$A$10,0)),"")</f>
        <v/>
      </c>
    </row>
    <row r="673" spans="1:9" x14ac:dyDescent="0.2">
      <c r="A673" s="7"/>
      <c r="C673" t="str">
        <f>IFERROR(VLOOKUP(B673,'Commission Rates'!$A:$C,2,FALSE),"")</f>
        <v/>
      </c>
      <c r="E673" s="8">
        <f>IFERROR(VLOOKUP(B673,'Commission Rates'!$A:$C,3,FALSE),0)</f>
        <v>0</v>
      </c>
      <c r="F673" s="8" t="str">
        <f>IF(B673="","",D673*E673)</f>
        <v/>
      </c>
      <c r="H673" t="str">
        <f>IF(A673="","",WEEKNUM(A673,1))</f>
        <v/>
      </c>
      <c r="I673" t="str">
        <f>IFERROR(INDEX('Pay Calendar'!$B$2:$B$10,MATCH(H673,'Pay Calendar'!$A$2:$A$10,0)),"")</f>
        <v/>
      </c>
    </row>
    <row r="674" spans="1:9" x14ac:dyDescent="0.2">
      <c r="A674" s="7"/>
      <c r="C674" t="str">
        <f>IFERROR(VLOOKUP(B674,'Commission Rates'!$A:$C,2,FALSE),"")</f>
        <v/>
      </c>
      <c r="E674" s="8">
        <f>IFERROR(VLOOKUP(B674,'Commission Rates'!$A:$C,3,FALSE),0)</f>
        <v>0</v>
      </c>
      <c r="F674" s="8" t="str">
        <f>IF(B674="","",D674*E674)</f>
        <v/>
      </c>
      <c r="H674" t="str">
        <f>IF(A674="","",WEEKNUM(A674,1))</f>
        <v/>
      </c>
      <c r="I674" t="str">
        <f>IFERROR(INDEX('Pay Calendar'!$B$2:$B$10,MATCH(H674,'Pay Calendar'!$A$2:$A$10,0)),"")</f>
        <v/>
      </c>
    </row>
    <row r="675" spans="1:9" x14ac:dyDescent="0.2">
      <c r="A675" s="7"/>
      <c r="C675" t="str">
        <f>IFERROR(VLOOKUP(B675,'Commission Rates'!$A:$C,2,FALSE),"")</f>
        <v/>
      </c>
      <c r="E675" s="8">
        <f>IFERROR(VLOOKUP(B675,'Commission Rates'!$A:$C,3,FALSE),0)</f>
        <v>0</v>
      </c>
      <c r="F675" s="8" t="str">
        <f>IF(B675="","",D675*E675)</f>
        <v/>
      </c>
      <c r="H675" t="str">
        <f>IF(A675="","",WEEKNUM(A675,1))</f>
        <v/>
      </c>
      <c r="I675" t="str">
        <f>IFERROR(INDEX('Pay Calendar'!$B$2:$B$10,MATCH(H675,'Pay Calendar'!$A$2:$A$10,0)),"")</f>
        <v/>
      </c>
    </row>
    <row r="676" spans="1:9" x14ac:dyDescent="0.2">
      <c r="A676" s="7"/>
      <c r="C676" t="str">
        <f>IFERROR(VLOOKUP(B676,'Commission Rates'!$A:$C,2,FALSE),"")</f>
        <v/>
      </c>
      <c r="E676" s="8">
        <f>IFERROR(VLOOKUP(B676,'Commission Rates'!$A:$C,3,FALSE),0)</f>
        <v>0</v>
      </c>
      <c r="F676" s="8" t="str">
        <f>IF(B676="","",D676*E676)</f>
        <v/>
      </c>
      <c r="H676" t="str">
        <f>IF(A676="","",WEEKNUM(A676,1))</f>
        <v/>
      </c>
      <c r="I676" t="str">
        <f>IFERROR(INDEX('Pay Calendar'!$B$2:$B$10,MATCH(H676,'Pay Calendar'!$A$2:$A$10,0)),"")</f>
        <v/>
      </c>
    </row>
    <row r="677" spans="1:9" x14ac:dyDescent="0.2">
      <c r="A677" s="7"/>
      <c r="C677" t="str">
        <f>IFERROR(VLOOKUP(B677,'Commission Rates'!$A:$C,2,FALSE),"")</f>
        <v/>
      </c>
      <c r="E677" s="8">
        <f>IFERROR(VLOOKUP(B677,'Commission Rates'!$A:$C,3,FALSE),0)</f>
        <v>0</v>
      </c>
      <c r="F677" s="8" t="str">
        <f>IF(B677="","",D677*E677)</f>
        <v/>
      </c>
      <c r="H677" t="str">
        <f>IF(A677="","",WEEKNUM(A677,1))</f>
        <v/>
      </c>
      <c r="I677" t="str">
        <f>IFERROR(INDEX('Pay Calendar'!$B$2:$B$10,MATCH(H677,'Pay Calendar'!$A$2:$A$10,0)),"")</f>
        <v/>
      </c>
    </row>
    <row r="678" spans="1:9" x14ac:dyDescent="0.2">
      <c r="A678" s="7"/>
      <c r="C678" t="str">
        <f>IFERROR(VLOOKUP(B678,'Commission Rates'!$A:$C,2,FALSE),"")</f>
        <v/>
      </c>
      <c r="E678" s="8">
        <f>IFERROR(VLOOKUP(B678,'Commission Rates'!$A:$C,3,FALSE),0)</f>
        <v>0</v>
      </c>
      <c r="F678" s="8" t="str">
        <f>IF(B678="","",D678*E678)</f>
        <v/>
      </c>
      <c r="H678" t="str">
        <f>IF(A678="","",WEEKNUM(A678,1))</f>
        <v/>
      </c>
      <c r="I678" t="str">
        <f>IFERROR(INDEX('Pay Calendar'!$B$2:$B$10,MATCH(H678,'Pay Calendar'!$A$2:$A$10,0)),"")</f>
        <v/>
      </c>
    </row>
    <row r="679" spans="1:9" x14ac:dyDescent="0.2">
      <c r="A679" s="7"/>
      <c r="C679" t="str">
        <f>IFERROR(VLOOKUP(B679,'Commission Rates'!$A:$C,2,FALSE),"")</f>
        <v/>
      </c>
      <c r="E679" s="8">
        <f>IFERROR(VLOOKUP(B679,'Commission Rates'!$A:$C,3,FALSE),0)</f>
        <v>0</v>
      </c>
      <c r="F679" s="8" t="str">
        <f>IF(B679="","",D679*E679)</f>
        <v/>
      </c>
      <c r="H679" t="str">
        <f>IF(A679="","",WEEKNUM(A679,1))</f>
        <v/>
      </c>
      <c r="I679" t="str">
        <f>IFERROR(INDEX('Pay Calendar'!$B$2:$B$10,MATCH(H679,'Pay Calendar'!$A$2:$A$10,0)),"")</f>
        <v/>
      </c>
    </row>
    <row r="680" spans="1:9" x14ac:dyDescent="0.2">
      <c r="A680" s="7"/>
      <c r="C680" t="str">
        <f>IFERROR(VLOOKUP(B680,'Commission Rates'!$A:$C,2,FALSE),"")</f>
        <v/>
      </c>
      <c r="E680" s="8">
        <f>IFERROR(VLOOKUP(B680,'Commission Rates'!$A:$C,3,FALSE),0)</f>
        <v>0</v>
      </c>
      <c r="F680" s="8" t="str">
        <f>IF(B680="","",D680*E680)</f>
        <v/>
      </c>
      <c r="H680" t="str">
        <f>IF(A680="","",WEEKNUM(A680,1))</f>
        <v/>
      </c>
      <c r="I680" t="str">
        <f>IFERROR(INDEX('Pay Calendar'!$B$2:$B$10,MATCH(H680,'Pay Calendar'!$A$2:$A$10,0)),"")</f>
        <v/>
      </c>
    </row>
    <row r="681" spans="1:9" x14ac:dyDescent="0.2">
      <c r="A681" s="7"/>
      <c r="C681" t="str">
        <f>IFERROR(VLOOKUP(B681,'Commission Rates'!$A:$C,2,FALSE),"")</f>
        <v/>
      </c>
      <c r="E681" s="8">
        <f>IFERROR(VLOOKUP(B681,'Commission Rates'!$A:$C,3,FALSE),0)</f>
        <v>0</v>
      </c>
      <c r="F681" s="8" t="str">
        <f>IF(B681="","",D681*E681)</f>
        <v/>
      </c>
      <c r="H681" t="str">
        <f>IF(A681="","",WEEKNUM(A681,1))</f>
        <v/>
      </c>
      <c r="I681" t="str">
        <f>IFERROR(INDEX('Pay Calendar'!$B$2:$B$10,MATCH(H681,'Pay Calendar'!$A$2:$A$10,0)),"")</f>
        <v/>
      </c>
    </row>
    <row r="682" spans="1:9" x14ac:dyDescent="0.2">
      <c r="A682" s="7"/>
      <c r="C682" t="str">
        <f>IFERROR(VLOOKUP(B682,'Commission Rates'!$A:$C,2,FALSE),"")</f>
        <v/>
      </c>
      <c r="E682" s="8">
        <f>IFERROR(VLOOKUP(B682,'Commission Rates'!$A:$C,3,FALSE),0)</f>
        <v>0</v>
      </c>
      <c r="F682" s="8" t="str">
        <f>IF(B682="","",D682*E682)</f>
        <v/>
      </c>
      <c r="H682" t="str">
        <f>IF(A682="","",WEEKNUM(A682,1))</f>
        <v/>
      </c>
      <c r="I682" t="str">
        <f>IFERROR(INDEX('Pay Calendar'!$B$2:$B$10,MATCH(H682,'Pay Calendar'!$A$2:$A$10,0)),"")</f>
        <v/>
      </c>
    </row>
    <row r="683" spans="1:9" x14ac:dyDescent="0.2">
      <c r="A683" s="7"/>
      <c r="C683" t="str">
        <f>IFERROR(VLOOKUP(B683,'Commission Rates'!$A:$C,2,FALSE),"")</f>
        <v/>
      </c>
      <c r="E683" s="8">
        <f>IFERROR(VLOOKUP(B683,'Commission Rates'!$A:$C,3,FALSE),0)</f>
        <v>0</v>
      </c>
      <c r="F683" s="8" t="str">
        <f>IF(B683="","",D683*E683)</f>
        <v/>
      </c>
      <c r="H683" t="str">
        <f>IF(A683="","",WEEKNUM(A683,1))</f>
        <v/>
      </c>
      <c r="I683" t="str">
        <f>IFERROR(INDEX('Pay Calendar'!$B$2:$B$10,MATCH(H683,'Pay Calendar'!$A$2:$A$10,0)),"")</f>
        <v/>
      </c>
    </row>
    <row r="684" spans="1:9" x14ac:dyDescent="0.2">
      <c r="A684" s="7"/>
      <c r="C684" t="str">
        <f>IFERROR(VLOOKUP(B684,'Commission Rates'!$A:$C,2,FALSE),"")</f>
        <v/>
      </c>
      <c r="E684" s="8">
        <f>IFERROR(VLOOKUP(B684,'Commission Rates'!$A:$C,3,FALSE),0)</f>
        <v>0</v>
      </c>
      <c r="F684" s="8" t="str">
        <f>IF(B684="","",D684*E684)</f>
        <v/>
      </c>
      <c r="H684" t="str">
        <f>IF(A684="","",WEEKNUM(A684,1))</f>
        <v/>
      </c>
      <c r="I684" t="str">
        <f>IFERROR(INDEX('Pay Calendar'!$B$2:$B$10,MATCH(H684,'Pay Calendar'!$A$2:$A$10,0)),"")</f>
        <v/>
      </c>
    </row>
    <row r="685" spans="1:9" x14ac:dyDescent="0.2">
      <c r="A685" s="7"/>
      <c r="C685" t="str">
        <f>IFERROR(VLOOKUP(B685,'Commission Rates'!$A:$C,2,FALSE),"")</f>
        <v/>
      </c>
      <c r="E685" s="8">
        <f>IFERROR(VLOOKUP(B685,'Commission Rates'!$A:$C,3,FALSE),0)</f>
        <v>0</v>
      </c>
      <c r="F685" s="8" t="str">
        <f>IF(B685="","",D685*E685)</f>
        <v/>
      </c>
      <c r="H685" t="str">
        <f>IF(A685="","",WEEKNUM(A685,1))</f>
        <v/>
      </c>
      <c r="I685" t="str">
        <f>IFERROR(INDEX('Pay Calendar'!$B$2:$B$10,MATCH(H685,'Pay Calendar'!$A$2:$A$10,0)),"")</f>
        <v/>
      </c>
    </row>
    <row r="686" spans="1:9" x14ac:dyDescent="0.2">
      <c r="A686" s="7"/>
      <c r="C686" t="str">
        <f>IFERROR(VLOOKUP(B686,'Commission Rates'!$A:$C,2,FALSE),"")</f>
        <v/>
      </c>
      <c r="E686" s="8">
        <f>IFERROR(VLOOKUP(B686,'Commission Rates'!$A:$C,3,FALSE),0)</f>
        <v>0</v>
      </c>
      <c r="F686" s="8" t="str">
        <f>IF(B686="","",D686*E686)</f>
        <v/>
      </c>
      <c r="H686" t="str">
        <f>IF(A686="","",WEEKNUM(A686,1))</f>
        <v/>
      </c>
      <c r="I686" t="str">
        <f>IFERROR(INDEX('Pay Calendar'!$B$2:$B$10,MATCH(H686,'Pay Calendar'!$A$2:$A$10,0)),"")</f>
        <v/>
      </c>
    </row>
    <row r="687" spans="1:9" x14ac:dyDescent="0.2">
      <c r="A687" s="7"/>
      <c r="C687" t="str">
        <f>IFERROR(VLOOKUP(B687,'Commission Rates'!$A:$C,2,FALSE),"")</f>
        <v/>
      </c>
      <c r="E687" s="8">
        <f>IFERROR(VLOOKUP(B687,'Commission Rates'!$A:$C,3,FALSE),0)</f>
        <v>0</v>
      </c>
      <c r="F687" s="8" t="str">
        <f>IF(B687="","",D687*E687)</f>
        <v/>
      </c>
      <c r="H687" t="str">
        <f>IF(A687="","",WEEKNUM(A687,1))</f>
        <v/>
      </c>
      <c r="I687" t="str">
        <f>IFERROR(INDEX('Pay Calendar'!$B$2:$B$10,MATCH(H687,'Pay Calendar'!$A$2:$A$10,0)),"")</f>
        <v/>
      </c>
    </row>
    <row r="688" spans="1:9" x14ac:dyDescent="0.2">
      <c r="A688" s="7"/>
      <c r="C688" t="str">
        <f>IFERROR(VLOOKUP(B688,'Commission Rates'!$A:$C,2,FALSE),"")</f>
        <v/>
      </c>
      <c r="E688" s="8">
        <f>IFERROR(VLOOKUP(B688,'Commission Rates'!$A:$C,3,FALSE),0)</f>
        <v>0</v>
      </c>
      <c r="F688" s="8" t="str">
        <f>IF(B688="","",D688*E688)</f>
        <v/>
      </c>
      <c r="H688" t="str">
        <f>IF(A688="","",WEEKNUM(A688,1))</f>
        <v/>
      </c>
      <c r="I688" t="str">
        <f>IFERROR(INDEX('Pay Calendar'!$B$2:$B$10,MATCH(H688,'Pay Calendar'!$A$2:$A$10,0)),"")</f>
        <v/>
      </c>
    </row>
    <row r="689" spans="1:9" x14ac:dyDescent="0.2">
      <c r="A689" s="7"/>
      <c r="C689" t="str">
        <f>IFERROR(VLOOKUP(B689,'Commission Rates'!$A:$C,2,FALSE),"")</f>
        <v/>
      </c>
      <c r="E689" s="8">
        <f>IFERROR(VLOOKUP(B689,'Commission Rates'!$A:$C,3,FALSE),0)</f>
        <v>0</v>
      </c>
      <c r="F689" s="8" t="str">
        <f>IF(B689="","",D689*E689)</f>
        <v/>
      </c>
      <c r="H689" t="str">
        <f>IF(A689="","",WEEKNUM(A689,1))</f>
        <v/>
      </c>
      <c r="I689" t="str">
        <f>IFERROR(INDEX('Pay Calendar'!$B$2:$B$10,MATCH(H689,'Pay Calendar'!$A$2:$A$10,0)),"")</f>
        <v/>
      </c>
    </row>
    <row r="690" spans="1:9" x14ac:dyDescent="0.2">
      <c r="A690" s="7"/>
      <c r="C690" t="str">
        <f>IFERROR(VLOOKUP(B690,'Commission Rates'!$A:$C,2,FALSE),"")</f>
        <v/>
      </c>
      <c r="E690" s="8">
        <f>IFERROR(VLOOKUP(B690,'Commission Rates'!$A:$C,3,FALSE),0)</f>
        <v>0</v>
      </c>
      <c r="F690" s="8" t="str">
        <f>IF(B690="","",D690*E690)</f>
        <v/>
      </c>
      <c r="H690" t="str">
        <f>IF(A690="","",WEEKNUM(A690,1))</f>
        <v/>
      </c>
      <c r="I690" t="str">
        <f>IFERROR(INDEX('Pay Calendar'!$B$2:$B$10,MATCH(H690,'Pay Calendar'!$A$2:$A$10,0)),"")</f>
        <v/>
      </c>
    </row>
    <row r="691" spans="1:9" x14ac:dyDescent="0.2">
      <c r="A691" s="7"/>
      <c r="C691" t="str">
        <f>IFERROR(VLOOKUP(B691,'Commission Rates'!$A:$C,2,FALSE),"")</f>
        <v/>
      </c>
      <c r="E691" s="8">
        <f>IFERROR(VLOOKUP(B691,'Commission Rates'!$A:$C,3,FALSE),0)</f>
        <v>0</v>
      </c>
      <c r="F691" s="8" t="str">
        <f>IF(B691="","",D691*E691)</f>
        <v/>
      </c>
      <c r="H691" t="str">
        <f>IF(A691="","",WEEKNUM(A691,1))</f>
        <v/>
      </c>
      <c r="I691" t="str">
        <f>IFERROR(INDEX('Pay Calendar'!$B$2:$B$10,MATCH(H691,'Pay Calendar'!$A$2:$A$10,0)),"")</f>
        <v/>
      </c>
    </row>
    <row r="692" spans="1:9" x14ac:dyDescent="0.2">
      <c r="A692" s="7"/>
      <c r="C692" t="str">
        <f>IFERROR(VLOOKUP(B692,'Commission Rates'!$A:$C,2,FALSE),"")</f>
        <v/>
      </c>
      <c r="E692" s="8">
        <f>IFERROR(VLOOKUP(B692,'Commission Rates'!$A:$C,3,FALSE),0)</f>
        <v>0</v>
      </c>
      <c r="F692" s="8" t="str">
        <f>IF(B692="","",D692*E692)</f>
        <v/>
      </c>
      <c r="H692" t="str">
        <f>IF(A692="","",WEEKNUM(A692,1))</f>
        <v/>
      </c>
      <c r="I692" t="str">
        <f>IFERROR(INDEX('Pay Calendar'!$B$2:$B$10,MATCH(H692,'Pay Calendar'!$A$2:$A$10,0)),"")</f>
        <v/>
      </c>
    </row>
    <row r="693" spans="1:9" x14ac:dyDescent="0.2">
      <c r="A693" s="7"/>
      <c r="C693" t="str">
        <f>IFERROR(VLOOKUP(B693,'Commission Rates'!$A:$C,2,FALSE),"")</f>
        <v/>
      </c>
      <c r="E693" s="8">
        <f>IFERROR(VLOOKUP(B693,'Commission Rates'!$A:$C,3,FALSE),0)</f>
        <v>0</v>
      </c>
      <c r="F693" s="8" t="str">
        <f>IF(B693="","",D693*E693)</f>
        <v/>
      </c>
      <c r="H693" t="str">
        <f>IF(A693="","",WEEKNUM(A693,1))</f>
        <v/>
      </c>
      <c r="I693" t="str">
        <f>IFERROR(INDEX('Pay Calendar'!$B$2:$B$10,MATCH(H693,'Pay Calendar'!$A$2:$A$10,0)),"")</f>
        <v/>
      </c>
    </row>
    <row r="694" spans="1:9" x14ac:dyDescent="0.2">
      <c r="A694" s="7"/>
      <c r="C694" t="str">
        <f>IFERROR(VLOOKUP(B694,'Commission Rates'!$A:$C,2,FALSE),"")</f>
        <v/>
      </c>
      <c r="E694" s="8">
        <f>IFERROR(VLOOKUP(B694,'Commission Rates'!$A:$C,3,FALSE),0)</f>
        <v>0</v>
      </c>
      <c r="F694" s="8" t="str">
        <f>IF(B694="","",D694*E694)</f>
        <v/>
      </c>
      <c r="H694" t="str">
        <f>IF(A694="","",WEEKNUM(A694,1))</f>
        <v/>
      </c>
      <c r="I694" t="str">
        <f>IFERROR(INDEX('Pay Calendar'!$B$2:$B$10,MATCH(H694,'Pay Calendar'!$A$2:$A$10,0)),"")</f>
        <v/>
      </c>
    </row>
    <row r="695" spans="1:9" x14ac:dyDescent="0.2">
      <c r="A695" s="7"/>
      <c r="C695" t="str">
        <f>IFERROR(VLOOKUP(B695,'Commission Rates'!$A:$C,2,FALSE),"")</f>
        <v/>
      </c>
      <c r="E695" s="8">
        <f>IFERROR(VLOOKUP(B695,'Commission Rates'!$A:$C,3,FALSE),0)</f>
        <v>0</v>
      </c>
      <c r="F695" s="8" t="str">
        <f>IF(B695="","",D695*E695)</f>
        <v/>
      </c>
      <c r="H695" t="str">
        <f>IF(A695="","",WEEKNUM(A695,1))</f>
        <v/>
      </c>
      <c r="I695" t="str">
        <f>IFERROR(INDEX('Pay Calendar'!$B$2:$B$10,MATCH(H695,'Pay Calendar'!$A$2:$A$10,0)),"")</f>
        <v/>
      </c>
    </row>
    <row r="696" spans="1:9" x14ac:dyDescent="0.2">
      <c r="A696" s="7"/>
      <c r="C696" t="str">
        <f>IFERROR(VLOOKUP(B696,'Commission Rates'!$A:$C,2,FALSE),"")</f>
        <v/>
      </c>
      <c r="E696" s="8">
        <f>IFERROR(VLOOKUP(B696,'Commission Rates'!$A:$C,3,FALSE),0)</f>
        <v>0</v>
      </c>
      <c r="F696" s="8" t="str">
        <f>IF(B696="","",D696*E696)</f>
        <v/>
      </c>
      <c r="H696" t="str">
        <f>IF(A696="","",WEEKNUM(A696,1))</f>
        <v/>
      </c>
      <c r="I696" t="str">
        <f>IFERROR(INDEX('Pay Calendar'!$B$2:$B$10,MATCH(H696,'Pay Calendar'!$A$2:$A$10,0)),"")</f>
        <v/>
      </c>
    </row>
    <row r="697" spans="1:9" x14ac:dyDescent="0.2">
      <c r="A697" s="7"/>
      <c r="C697" t="str">
        <f>IFERROR(VLOOKUP(B697,'Commission Rates'!$A:$C,2,FALSE),"")</f>
        <v/>
      </c>
      <c r="E697" s="8">
        <f>IFERROR(VLOOKUP(B697,'Commission Rates'!$A:$C,3,FALSE),0)</f>
        <v>0</v>
      </c>
      <c r="F697" s="8" t="str">
        <f>IF(B697="","",D697*E697)</f>
        <v/>
      </c>
      <c r="H697" t="str">
        <f>IF(A697="","",WEEKNUM(A697,1))</f>
        <v/>
      </c>
      <c r="I697" t="str">
        <f>IFERROR(INDEX('Pay Calendar'!$B$2:$B$10,MATCH(H697,'Pay Calendar'!$A$2:$A$10,0)),"")</f>
        <v/>
      </c>
    </row>
    <row r="698" spans="1:9" x14ac:dyDescent="0.2">
      <c r="A698" s="7"/>
      <c r="C698" t="str">
        <f>IFERROR(VLOOKUP(B698,'Commission Rates'!$A:$C,2,FALSE),"")</f>
        <v/>
      </c>
      <c r="E698" s="8">
        <f>IFERROR(VLOOKUP(B698,'Commission Rates'!$A:$C,3,FALSE),0)</f>
        <v>0</v>
      </c>
      <c r="F698" s="8" t="str">
        <f>IF(B698="","",D698*E698)</f>
        <v/>
      </c>
      <c r="H698" t="str">
        <f>IF(A698="","",WEEKNUM(A698,1))</f>
        <v/>
      </c>
      <c r="I698" t="str">
        <f>IFERROR(INDEX('Pay Calendar'!$B$2:$B$10,MATCH(H698,'Pay Calendar'!$A$2:$A$10,0)),"")</f>
        <v/>
      </c>
    </row>
    <row r="699" spans="1:9" x14ac:dyDescent="0.2">
      <c r="A699" s="7"/>
      <c r="C699" t="str">
        <f>IFERROR(VLOOKUP(B699,'Commission Rates'!$A:$C,2,FALSE),"")</f>
        <v/>
      </c>
      <c r="E699" s="8">
        <f>IFERROR(VLOOKUP(B699,'Commission Rates'!$A:$C,3,FALSE),0)</f>
        <v>0</v>
      </c>
      <c r="F699" s="8" t="str">
        <f>IF(B699="","",D699*E699)</f>
        <v/>
      </c>
      <c r="H699" t="str">
        <f>IF(A699="","",WEEKNUM(A699,1))</f>
        <v/>
      </c>
      <c r="I699" t="str">
        <f>IFERROR(INDEX('Pay Calendar'!$B$2:$B$10,MATCH(H699,'Pay Calendar'!$A$2:$A$10,0)),"")</f>
        <v/>
      </c>
    </row>
    <row r="700" spans="1:9" x14ac:dyDescent="0.2">
      <c r="A700" s="7"/>
      <c r="C700" t="str">
        <f>IFERROR(VLOOKUP(B700,'Commission Rates'!$A:$C,2,FALSE),"")</f>
        <v/>
      </c>
      <c r="E700" s="8">
        <f>IFERROR(VLOOKUP(B700,'Commission Rates'!$A:$C,3,FALSE),0)</f>
        <v>0</v>
      </c>
      <c r="F700" s="8" t="str">
        <f>IF(B700="","",D700*E700)</f>
        <v/>
      </c>
      <c r="H700" t="str">
        <f>IF(A700="","",WEEKNUM(A700,1))</f>
        <v/>
      </c>
      <c r="I700" t="str">
        <f>IFERROR(INDEX('Pay Calendar'!$B$2:$B$10,MATCH(H700,'Pay Calendar'!$A$2:$A$10,0)),"")</f>
        <v/>
      </c>
    </row>
    <row r="701" spans="1:9" x14ac:dyDescent="0.2">
      <c r="A701" s="7"/>
      <c r="C701" t="str">
        <f>IFERROR(VLOOKUP(B701,'Commission Rates'!$A:$C,2,FALSE),"")</f>
        <v/>
      </c>
      <c r="E701" s="8">
        <f>IFERROR(VLOOKUP(B701,'Commission Rates'!$A:$C,3,FALSE),0)</f>
        <v>0</v>
      </c>
      <c r="F701" s="8" t="str">
        <f>IF(B701="","",D701*E701)</f>
        <v/>
      </c>
      <c r="H701" t="str">
        <f>IF(A701="","",WEEKNUM(A701,1))</f>
        <v/>
      </c>
      <c r="I701" t="str">
        <f>IFERROR(INDEX('Pay Calendar'!$B$2:$B$10,MATCH(H701,'Pay Calendar'!$A$2:$A$10,0)),"")</f>
        <v/>
      </c>
    </row>
    <row r="702" spans="1:9" x14ac:dyDescent="0.2">
      <c r="A702" s="7"/>
      <c r="C702" t="str">
        <f>IFERROR(VLOOKUP(B702,'Commission Rates'!$A:$C,2,FALSE),"")</f>
        <v/>
      </c>
      <c r="E702" s="8">
        <f>IFERROR(VLOOKUP(B702,'Commission Rates'!$A:$C,3,FALSE),0)</f>
        <v>0</v>
      </c>
      <c r="F702" s="8" t="str">
        <f>IF(B702="","",D702*E702)</f>
        <v/>
      </c>
      <c r="H702" t="str">
        <f>IF(A702="","",WEEKNUM(A702,1))</f>
        <v/>
      </c>
      <c r="I702" t="str">
        <f>IFERROR(INDEX('Pay Calendar'!$B$2:$B$10,MATCH(H702,'Pay Calendar'!$A$2:$A$10,0)),"")</f>
        <v/>
      </c>
    </row>
    <row r="703" spans="1:9" x14ac:dyDescent="0.2">
      <c r="A703" s="7"/>
      <c r="C703" t="str">
        <f>IFERROR(VLOOKUP(B703,'Commission Rates'!$A:$C,2,FALSE),"")</f>
        <v/>
      </c>
      <c r="E703" s="8">
        <f>IFERROR(VLOOKUP(B703,'Commission Rates'!$A:$C,3,FALSE),0)</f>
        <v>0</v>
      </c>
      <c r="F703" s="8" t="str">
        <f>IF(B703="","",D703*E703)</f>
        <v/>
      </c>
      <c r="H703" t="str">
        <f>IF(A703="","",WEEKNUM(A703,1))</f>
        <v/>
      </c>
      <c r="I703" t="str">
        <f>IFERROR(INDEX('Pay Calendar'!$B$2:$B$10,MATCH(H703,'Pay Calendar'!$A$2:$A$10,0)),"")</f>
        <v/>
      </c>
    </row>
    <row r="704" spans="1:9" x14ac:dyDescent="0.2">
      <c r="A704" s="7"/>
      <c r="C704" t="str">
        <f>IFERROR(VLOOKUP(B704,'Commission Rates'!$A:$C,2,FALSE),"")</f>
        <v/>
      </c>
      <c r="E704" s="8">
        <f>IFERROR(VLOOKUP(B704,'Commission Rates'!$A:$C,3,FALSE),0)</f>
        <v>0</v>
      </c>
      <c r="F704" s="8" t="str">
        <f>IF(B704="","",D704*E704)</f>
        <v/>
      </c>
      <c r="H704" t="str">
        <f>IF(A704="","",WEEKNUM(A704,1))</f>
        <v/>
      </c>
      <c r="I704" t="str">
        <f>IFERROR(INDEX('Pay Calendar'!$B$2:$B$10,MATCH(H704,'Pay Calendar'!$A$2:$A$10,0)),"")</f>
        <v/>
      </c>
    </row>
    <row r="705" spans="1:9" x14ac:dyDescent="0.2">
      <c r="A705" s="7"/>
      <c r="C705" t="str">
        <f>IFERROR(VLOOKUP(B705,'Commission Rates'!$A:$C,2,FALSE),"")</f>
        <v/>
      </c>
      <c r="E705" s="8">
        <f>IFERROR(VLOOKUP(B705,'Commission Rates'!$A:$C,3,FALSE),0)</f>
        <v>0</v>
      </c>
      <c r="F705" s="8" t="str">
        <f>IF(B705="","",D705*E705)</f>
        <v/>
      </c>
      <c r="H705" t="str">
        <f>IF(A705="","",WEEKNUM(A705,1))</f>
        <v/>
      </c>
      <c r="I705" t="str">
        <f>IFERROR(INDEX('Pay Calendar'!$B$2:$B$10,MATCH(H705,'Pay Calendar'!$A$2:$A$10,0)),"")</f>
        <v/>
      </c>
    </row>
    <row r="706" spans="1:9" x14ac:dyDescent="0.2">
      <c r="A706" s="7"/>
      <c r="C706" t="str">
        <f>IFERROR(VLOOKUP(B706,'Commission Rates'!$A:$C,2,FALSE),"")</f>
        <v/>
      </c>
      <c r="E706" s="8">
        <f>IFERROR(VLOOKUP(B706,'Commission Rates'!$A:$C,3,FALSE),0)</f>
        <v>0</v>
      </c>
      <c r="F706" s="8" t="str">
        <f>IF(B706="","",D706*E706)</f>
        <v/>
      </c>
      <c r="H706" t="str">
        <f>IF(A706="","",WEEKNUM(A706,1))</f>
        <v/>
      </c>
      <c r="I706" t="str">
        <f>IFERROR(INDEX('Pay Calendar'!$B$2:$B$10,MATCH(H706,'Pay Calendar'!$A$2:$A$10,0)),"")</f>
        <v/>
      </c>
    </row>
    <row r="707" spans="1:9" x14ac:dyDescent="0.2">
      <c r="A707" s="7"/>
      <c r="C707" t="str">
        <f>IFERROR(VLOOKUP(B707,'Commission Rates'!$A:$C,2,FALSE),"")</f>
        <v/>
      </c>
      <c r="E707" s="8">
        <f>IFERROR(VLOOKUP(B707,'Commission Rates'!$A:$C,3,FALSE),0)</f>
        <v>0</v>
      </c>
      <c r="F707" s="8" t="str">
        <f>IF(B707="","",D707*E707)</f>
        <v/>
      </c>
      <c r="H707" t="str">
        <f>IF(A707="","",WEEKNUM(A707,1))</f>
        <v/>
      </c>
      <c r="I707" t="str">
        <f>IFERROR(INDEX('Pay Calendar'!$B$2:$B$10,MATCH(H707,'Pay Calendar'!$A$2:$A$10,0)),"")</f>
        <v/>
      </c>
    </row>
    <row r="708" spans="1:9" x14ac:dyDescent="0.2">
      <c r="A708" s="7"/>
      <c r="C708" t="str">
        <f>IFERROR(VLOOKUP(B708,'Commission Rates'!$A:$C,2,FALSE),"")</f>
        <v/>
      </c>
      <c r="E708" s="8">
        <f>IFERROR(VLOOKUP(B708,'Commission Rates'!$A:$C,3,FALSE),0)</f>
        <v>0</v>
      </c>
      <c r="F708" s="8" t="str">
        <f>IF(B708="","",D708*E708)</f>
        <v/>
      </c>
      <c r="H708" t="str">
        <f>IF(A708="","",WEEKNUM(A708,1))</f>
        <v/>
      </c>
      <c r="I708" t="str">
        <f>IFERROR(INDEX('Pay Calendar'!$B$2:$B$10,MATCH(H708,'Pay Calendar'!$A$2:$A$10,0)),"")</f>
        <v/>
      </c>
    </row>
    <row r="709" spans="1:9" x14ac:dyDescent="0.2">
      <c r="A709" s="7"/>
      <c r="C709" t="str">
        <f>IFERROR(VLOOKUP(B709,'Commission Rates'!$A:$C,2,FALSE),"")</f>
        <v/>
      </c>
      <c r="E709" s="8">
        <f>IFERROR(VLOOKUP(B709,'Commission Rates'!$A:$C,3,FALSE),0)</f>
        <v>0</v>
      </c>
      <c r="F709" s="8" t="str">
        <f>IF(B709="","",D709*E709)</f>
        <v/>
      </c>
      <c r="H709" t="str">
        <f>IF(A709="","",WEEKNUM(A709,1))</f>
        <v/>
      </c>
      <c r="I709" t="str">
        <f>IFERROR(INDEX('Pay Calendar'!$B$2:$B$10,MATCH(H709,'Pay Calendar'!$A$2:$A$10,0)),"")</f>
        <v/>
      </c>
    </row>
    <row r="710" spans="1:9" x14ac:dyDescent="0.2">
      <c r="A710" s="7"/>
      <c r="C710" t="str">
        <f>IFERROR(VLOOKUP(B710,'Commission Rates'!$A:$C,2,FALSE),"")</f>
        <v/>
      </c>
      <c r="E710" s="8">
        <f>IFERROR(VLOOKUP(B710,'Commission Rates'!$A:$C,3,FALSE),0)</f>
        <v>0</v>
      </c>
      <c r="F710" s="8" t="str">
        <f>IF(B710="","",D710*E710)</f>
        <v/>
      </c>
      <c r="H710" t="str">
        <f>IF(A710="","",WEEKNUM(A710,1))</f>
        <v/>
      </c>
      <c r="I710" t="str">
        <f>IFERROR(INDEX('Pay Calendar'!$B$2:$B$10,MATCH(H710,'Pay Calendar'!$A$2:$A$10,0)),"")</f>
        <v/>
      </c>
    </row>
    <row r="711" spans="1:9" x14ac:dyDescent="0.2">
      <c r="A711" s="7"/>
      <c r="C711" t="str">
        <f>IFERROR(VLOOKUP(B711,'Commission Rates'!$A:$C,2,FALSE),"")</f>
        <v/>
      </c>
      <c r="E711" s="8">
        <f>IFERROR(VLOOKUP(B711,'Commission Rates'!$A:$C,3,FALSE),0)</f>
        <v>0</v>
      </c>
      <c r="F711" s="8" t="str">
        <f>IF(B711="","",D711*E711)</f>
        <v/>
      </c>
      <c r="H711" t="str">
        <f>IF(A711="","",WEEKNUM(A711,1))</f>
        <v/>
      </c>
      <c r="I711" t="str">
        <f>IFERROR(INDEX('Pay Calendar'!$B$2:$B$10,MATCH(H711,'Pay Calendar'!$A$2:$A$10,0)),"")</f>
        <v/>
      </c>
    </row>
    <row r="712" spans="1:9" x14ac:dyDescent="0.2">
      <c r="A712" s="7"/>
      <c r="C712" t="str">
        <f>IFERROR(VLOOKUP(B712,'Commission Rates'!$A:$C,2,FALSE),"")</f>
        <v/>
      </c>
      <c r="E712" s="8">
        <f>IFERROR(VLOOKUP(B712,'Commission Rates'!$A:$C,3,FALSE),0)</f>
        <v>0</v>
      </c>
      <c r="F712" s="8" t="str">
        <f>IF(B712="","",D712*E712)</f>
        <v/>
      </c>
      <c r="H712" t="str">
        <f>IF(A712="","",WEEKNUM(A712,1))</f>
        <v/>
      </c>
      <c r="I712" t="str">
        <f>IFERROR(INDEX('Pay Calendar'!$B$2:$B$10,MATCH(H712,'Pay Calendar'!$A$2:$A$10,0)),"")</f>
        <v/>
      </c>
    </row>
    <row r="713" spans="1:9" x14ac:dyDescent="0.2">
      <c r="A713" s="7"/>
      <c r="C713" t="str">
        <f>IFERROR(VLOOKUP(B713,'Commission Rates'!$A:$C,2,FALSE),"")</f>
        <v/>
      </c>
      <c r="E713" s="8">
        <f>IFERROR(VLOOKUP(B713,'Commission Rates'!$A:$C,3,FALSE),0)</f>
        <v>0</v>
      </c>
      <c r="F713" s="8" t="str">
        <f>IF(B713="","",D713*E713)</f>
        <v/>
      </c>
      <c r="H713" t="str">
        <f>IF(A713="","",WEEKNUM(A713,1))</f>
        <v/>
      </c>
      <c r="I713" t="str">
        <f>IFERROR(INDEX('Pay Calendar'!$B$2:$B$10,MATCH(H713,'Pay Calendar'!$A$2:$A$10,0)),"")</f>
        <v/>
      </c>
    </row>
    <row r="714" spans="1:9" x14ac:dyDescent="0.2">
      <c r="A714" s="7"/>
      <c r="C714" t="str">
        <f>IFERROR(VLOOKUP(B714,'Commission Rates'!$A:$C,2,FALSE),"")</f>
        <v/>
      </c>
      <c r="E714" s="8">
        <f>IFERROR(VLOOKUP(B714,'Commission Rates'!$A:$C,3,FALSE),0)</f>
        <v>0</v>
      </c>
      <c r="F714" s="8" t="str">
        <f>IF(B714="","",D714*E714)</f>
        <v/>
      </c>
      <c r="H714" t="str">
        <f>IF(A714="","",WEEKNUM(A714,1))</f>
        <v/>
      </c>
      <c r="I714" t="str">
        <f>IFERROR(INDEX('Pay Calendar'!$B$2:$B$10,MATCH(H714,'Pay Calendar'!$A$2:$A$10,0)),"")</f>
        <v/>
      </c>
    </row>
    <row r="715" spans="1:9" x14ac:dyDescent="0.2">
      <c r="A715" s="7"/>
      <c r="C715" t="str">
        <f>IFERROR(VLOOKUP(B715,'Commission Rates'!$A:$C,2,FALSE),"")</f>
        <v/>
      </c>
      <c r="E715" s="8">
        <f>IFERROR(VLOOKUP(B715,'Commission Rates'!$A:$C,3,FALSE),0)</f>
        <v>0</v>
      </c>
      <c r="F715" s="8" t="str">
        <f>IF(B715="","",D715*E715)</f>
        <v/>
      </c>
      <c r="H715" t="str">
        <f>IF(A715="","",WEEKNUM(A715,1))</f>
        <v/>
      </c>
      <c r="I715" t="str">
        <f>IFERROR(INDEX('Pay Calendar'!$B$2:$B$10,MATCH(H715,'Pay Calendar'!$A$2:$A$10,0)),"")</f>
        <v/>
      </c>
    </row>
    <row r="716" spans="1:9" x14ac:dyDescent="0.2">
      <c r="A716" s="7"/>
      <c r="C716" t="str">
        <f>IFERROR(VLOOKUP(B716,'Commission Rates'!$A:$C,2,FALSE),"")</f>
        <v/>
      </c>
      <c r="E716" s="8">
        <f>IFERROR(VLOOKUP(B716,'Commission Rates'!$A:$C,3,FALSE),0)</f>
        <v>0</v>
      </c>
      <c r="F716" s="8" t="str">
        <f>IF(B716="","",D716*E716)</f>
        <v/>
      </c>
      <c r="H716" t="str">
        <f>IF(A716="","",WEEKNUM(A716,1))</f>
        <v/>
      </c>
      <c r="I716" t="str">
        <f>IFERROR(INDEX('Pay Calendar'!$B$2:$B$10,MATCH(H716,'Pay Calendar'!$A$2:$A$10,0)),"")</f>
        <v/>
      </c>
    </row>
    <row r="717" spans="1:9" x14ac:dyDescent="0.2">
      <c r="A717" s="7"/>
      <c r="C717" t="str">
        <f>IFERROR(VLOOKUP(B717,'Commission Rates'!$A:$C,2,FALSE),"")</f>
        <v/>
      </c>
      <c r="E717" s="8">
        <f>IFERROR(VLOOKUP(B717,'Commission Rates'!$A:$C,3,FALSE),0)</f>
        <v>0</v>
      </c>
      <c r="F717" s="8" t="str">
        <f>IF(B717="","",D717*E717)</f>
        <v/>
      </c>
      <c r="H717" t="str">
        <f>IF(A717="","",WEEKNUM(A717,1))</f>
        <v/>
      </c>
      <c r="I717" t="str">
        <f>IFERROR(INDEX('Pay Calendar'!$B$2:$B$10,MATCH(H717,'Pay Calendar'!$A$2:$A$10,0)),"")</f>
        <v/>
      </c>
    </row>
    <row r="718" spans="1:9" x14ac:dyDescent="0.2">
      <c r="A718" s="7"/>
      <c r="C718" t="str">
        <f>IFERROR(VLOOKUP(B718,'Commission Rates'!$A:$C,2,FALSE),"")</f>
        <v/>
      </c>
      <c r="E718" s="8">
        <f>IFERROR(VLOOKUP(B718,'Commission Rates'!$A:$C,3,FALSE),0)</f>
        <v>0</v>
      </c>
      <c r="F718" s="8" t="str">
        <f>IF(B718="","",D718*E718)</f>
        <v/>
      </c>
      <c r="H718" t="str">
        <f>IF(A718="","",WEEKNUM(A718,1))</f>
        <v/>
      </c>
      <c r="I718" t="str">
        <f>IFERROR(INDEX('Pay Calendar'!$B$2:$B$10,MATCH(H718,'Pay Calendar'!$A$2:$A$10,0)),"")</f>
        <v/>
      </c>
    </row>
    <row r="719" spans="1:9" x14ac:dyDescent="0.2">
      <c r="A719" s="7"/>
      <c r="C719" t="str">
        <f>IFERROR(VLOOKUP(B719,'Commission Rates'!$A:$C,2,FALSE),"")</f>
        <v/>
      </c>
      <c r="E719" s="8">
        <f>IFERROR(VLOOKUP(B719,'Commission Rates'!$A:$C,3,FALSE),0)</f>
        <v>0</v>
      </c>
      <c r="F719" s="8" t="str">
        <f>IF(B719="","",D719*E719)</f>
        <v/>
      </c>
      <c r="H719" t="str">
        <f>IF(A719="","",WEEKNUM(A719,1))</f>
        <v/>
      </c>
      <c r="I719" t="str">
        <f>IFERROR(INDEX('Pay Calendar'!$B$2:$B$10,MATCH(H719,'Pay Calendar'!$A$2:$A$10,0)),"")</f>
        <v/>
      </c>
    </row>
    <row r="720" spans="1:9" x14ac:dyDescent="0.2">
      <c r="A720" s="7"/>
      <c r="C720" t="str">
        <f>IFERROR(VLOOKUP(B720,'Commission Rates'!$A:$C,2,FALSE),"")</f>
        <v/>
      </c>
      <c r="E720" s="8">
        <f>IFERROR(VLOOKUP(B720,'Commission Rates'!$A:$C,3,FALSE),0)</f>
        <v>0</v>
      </c>
      <c r="F720" s="8" t="str">
        <f>IF(B720="","",D720*E720)</f>
        <v/>
      </c>
      <c r="H720" t="str">
        <f>IF(A720="","",WEEKNUM(A720,1))</f>
        <v/>
      </c>
      <c r="I720" t="str">
        <f>IFERROR(INDEX('Pay Calendar'!$B$2:$B$10,MATCH(H720,'Pay Calendar'!$A$2:$A$10,0)),"")</f>
        <v/>
      </c>
    </row>
    <row r="721" spans="1:9" x14ac:dyDescent="0.2">
      <c r="A721" s="7"/>
      <c r="C721" t="str">
        <f>IFERROR(VLOOKUP(B721,'Commission Rates'!$A:$C,2,FALSE),"")</f>
        <v/>
      </c>
      <c r="E721" s="8">
        <f>IFERROR(VLOOKUP(B721,'Commission Rates'!$A:$C,3,FALSE),0)</f>
        <v>0</v>
      </c>
      <c r="F721" s="8" t="str">
        <f>IF(B721="","",D721*E721)</f>
        <v/>
      </c>
      <c r="H721" t="str">
        <f>IF(A721="","",WEEKNUM(A721,1))</f>
        <v/>
      </c>
      <c r="I721" t="str">
        <f>IFERROR(INDEX('Pay Calendar'!$B$2:$B$10,MATCH(H721,'Pay Calendar'!$A$2:$A$10,0)),"")</f>
        <v/>
      </c>
    </row>
    <row r="722" spans="1:9" x14ac:dyDescent="0.2">
      <c r="A722" s="7"/>
      <c r="C722" t="str">
        <f>IFERROR(VLOOKUP(B722,'Commission Rates'!$A:$C,2,FALSE),"")</f>
        <v/>
      </c>
      <c r="E722" s="8">
        <f>IFERROR(VLOOKUP(B722,'Commission Rates'!$A:$C,3,FALSE),0)</f>
        <v>0</v>
      </c>
      <c r="F722" s="8" t="str">
        <f>IF(B722="","",D722*E722)</f>
        <v/>
      </c>
      <c r="H722" t="str">
        <f>IF(A722="","",WEEKNUM(A722,1))</f>
        <v/>
      </c>
      <c r="I722" t="str">
        <f>IFERROR(INDEX('Pay Calendar'!$B$2:$B$10,MATCH(H722,'Pay Calendar'!$A$2:$A$10,0)),"")</f>
        <v/>
      </c>
    </row>
    <row r="723" spans="1:9" x14ac:dyDescent="0.2">
      <c r="A723" s="7"/>
      <c r="C723" t="str">
        <f>IFERROR(VLOOKUP(B723,'Commission Rates'!$A:$C,2,FALSE),"")</f>
        <v/>
      </c>
      <c r="E723" s="8">
        <f>IFERROR(VLOOKUP(B723,'Commission Rates'!$A:$C,3,FALSE),0)</f>
        <v>0</v>
      </c>
      <c r="F723" s="8" t="str">
        <f>IF(B723="","",D723*E723)</f>
        <v/>
      </c>
      <c r="H723" t="str">
        <f>IF(A723="","",WEEKNUM(A723,1))</f>
        <v/>
      </c>
      <c r="I723" t="str">
        <f>IFERROR(INDEX('Pay Calendar'!$B$2:$B$10,MATCH(H723,'Pay Calendar'!$A$2:$A$10,0)),"")</f>
        <v/>
      </c>
    </row>
    <row r="724" spans="1:9" x14ac:dyDescent="0.2">
      <c r="A724" s="7"/>
      <c r="C724" t="str">
        <f>IFERROR(VLOOKUP(B724,'Commission Rates'!$A:$C,2,FALSE),"")</f>
        <v/>
      </c>
      <c r="E724" s="8">
        <f>IFERROR(VLOOKUP(B724,'Commission Rates'!$A:$C,3,FALSE),0)</f>
        <v>0</v>
      </c>
      <c r="F724" s="8" t="str">
        <f>IF(B724="","",D724*E724)</f>
        <v/>
      </c>
      <c r="H724" t="str">
        <f>IF(A724="","",WEEKNUM(A724,1))</f>
        <v/>
      </c>
      <c r="I724" t="str">
        <f>IFERROR(INDEX('Pay Calendar'!$B$2:$B$10,MATCH(H724,'Pay Calendar'!$A$2:$A$10,0)),"")</f>
        <v/>
      </c>
    </row>
    <row r="725" spans="1:9" x14ac:dyDescent="0.2">
      <c r="A725" s="7"/>
      <c r="C725" t="str">
        <f>IFERROR(VLOOKUP(B725,'Commission Rates'!$A:$C,2,FALSE),"")</f>
        <v/>
      </c>
      <c r="E725" s="8">
        <f>IFERROR(VLOOKUP(B725,'Commission Rates'!$A:$C,3,FALSE),0)</f>
        <v>0</v>
      </c>
      <c r="F725" s="8" t="str">
        <f>IF(B725="","",D725*E725)</f>
        <v/>
      </c>
      <c r="H725" t="str">
        <f>IF(A725="","",WEEKNUM(A725,1))</f>
        <v/>
      </c>
      <c r="I725" t="str">
        <f>IFERROR(INDEX('Pay Calendar'!$B$2:$B$10,MATCH(H725,'Pay Calendar'!$A$2:$A$10,0)),"")</f>
        <v/>
      </c>
    </row>
    <row r="726" spans="1:9" x14ac:dyDescent="0.2">
      <c r="A726" s="7"/>
      <c r="C726" t="str">
        <f>IFERROR(VLOOKUP(B726,'Commission Rates'!$A:$C,2,FALSE),"")</f>
        <v/>
      </c>
      <c r="E726" s="8">
        <f>IFERROR(VLOOKUP(B726,'Commission Rates'!$A:$C,3,FALSE),0)</f>
        <v>0</v>
      </c>
      <c r="F726" s="8" t="str">
        <f>IF(B726="","",D726*E726)</f>
        <v/>
      </c>
      <c r="H726" t="str">
        <f>IF(A726="","",WEEKNUM(A726,1))</f>
        <v/>
      </c>
      <c r="I726" t="str">
        <f>IFERROR(INDEX('Pay Calendar'!$B$2:$B$10,MATCH(H726,'Pay Calendar'!$A$2:$A$10,0)),"")</f>
        <v/>
      </c>
    </row>
    <row r="727" spans="1:9" x14ac:dyDescent="0.2">
      <c r="A727" s="7"/>
      <c r="C727" t="str">
        <f>IFERROR(VLOOKUP(B727,'Commission Rates'!$A:$C,2,FALSE),"")</f>
        <v/>
      </c>
      <c r="E727" s="8">
        <f>IFERROR(VLOOKUP(B727,'Commission Rates'!$A:$C,3,FALSE),0)</f>
        <v>0</v>
      </c>
      <c r="F727" s="8" t="str">
        <f>IF(B727="","",D727*E727)</f>
        <v/>
      </c>
      <c r="H727" t="str">
        <f>IF(A727="","",WEEKNUM(A727,1))</f>
        <v/>
      </c>
      <c r="I727" t="str">
        <f>IFERROR(INDEX('Pay Calendar'!$B$2:$B$10,MATCH(H727,'Pay Calendar'!$A$2:$A$10,0)),"")</f>
        <v/>
      </c>
    </row>
    <row r="728" spans="1:9" x14ac:dyDescent="0.2">
      <c r="A728" s="7"/>
      <c r="C728" t="str">
        <f>IFERROR(VLOOKUP(B728,'Commission Rates'!$A:$C,2,FALSE),"")</f>
        <v/>
      </c>
      <c r="E728" s="8">
        <f>IFERROR(VLOOKUP(B728,'Commission Rates'!$A:$C,3,FALSE),0)</f>
        <v>0</v>
      </c>
      <c r="F728" s="8" t="str">
        <f>IF(B728="","",D728*E728)</f>
        <v/>
      </c>
      <c r="H728" t="str">
        <f>IF(A728="","",WEEKNUM(A728,1))</f>
        <v/>
      </c>
      <c r="I728" t="str">
        <f>IFERROR(INDEX('Pay Calendar'!$B$2:$B$10,MATCH(H728,'Pay Calendar'!$A$2:$A$10,0)),"")</f>
        <v/>
      </c>
    </row>
    <row r="729" spans="1:9" x14ac:dyDescent="0.2">
      <c r="A729" s="7"/>
      <c r="C729" t="str">
        <f>IFERROR(VLOOKUP(B729,'Commission Rates'!$A:$C,2,FALSE),"")</f>
        <v/>
      </c>
      <c r="E729" s="8">
        <f>IFERROR(VLOOKUP(B729,'Commission Rates'!$A:$C,3,FALSE),0)</f>
        <v>0</v>
      </c>
      <c r="F729" s="8" t="str">
        <f>IF(B729="","",D729*E729)</f>
        <v/>
      </c>
      <c r="H729" t="str">
        <f>IF(A729="","",WEEKNUM(A729,1))</f>
        <v/>
      </c>
      <c r="I729" t="str">
        <f>IFERROR(INDEX('Pay Calendar'!$B$2:$B$10,MATCH(H729,'Pay Calendar'!$A$2:$A$10,0)),"")</f>
        <v/>
      </c>
    </row>
    <row r="730" spans="1:9" x14ac:dyDescent="0.2">
      <c r="A730" s="7"/>
      <c r="C730" t="str">
        <f>IFERROR(VLOOKUP(B730,'Commission Rates'!$A:$C,2,FALSE),"")</f>
        <v/>
      </c>
      <c r="E730" s="8">
        <f>IFERROR(VLOOKUP(B730,'Commission Rates'!$A:$C,3,FALSE),0)</f>
        <v>0</v>
      </c>
      <c r="F730" s="8" t="str">
        <f>IF(B730="","",D730*E730)</f>
        <v/>
      </c>
      <c r="H730" t="str">
        <f>IF(A730="","",WEEKNUM(A730,1))</f>
        <v/>
      </c>
      <c r="I730" t="str">
        <f>IFERROR(INDEX('Pay Calendar'!$B$2:$B$10,MATCH(H730,'Pay Calendar'!$A$2:$A$10,0)),"")</f>
        <v/>
      </c>
    </row>
    <row r="731" spans="1:9" x14ac:dyDescent="0.2">
      <c r="A731" s="7"/>
      <c r="C731" t="str">
        <f>IFERROR(VLOOKUP(B731,'Commission Rates'!$A:$C,2,FALSE),"")</f>
        <v/>
      </c>
      <c r="E731" s="8">
        <f>IFERROR(VLOOKUP(B731,'Commission Rates'!$A:$C,3,FALSE),0)</f>
        <v>0</v>
      </c>
      <c r="F731" s="8" t="str">
        <f>IF(B731="","",D731*E731)</f>
        <v/>
      </c>
      <c r="H731" t="str">
        <f>IF(A731="","",WEEKNUM(A731,1))</f>
        <v/>
      </c>
      <c r="I731" t="str">
        <f>IFERROR(INDEX('Pay Calendar'!$B$2:$B$10,MATCH(H731,'Pay Calendar'!$A$2:$A$10,0)),"")</f>
        <v/>
      </c>
    </row>
    <row r="732" spans="1:9" x14ac:dyDescent="0.2">
      <c r="A732" s="7"/>
      <c r="C732" t="str">
        <f>IFERROR(VLOOKUP(B732,'Commission Rates'!$A:$C,2,FALSE),"")</f>
        <v/>
      </c>
      <c r="E732" s="8">
        <f>IFERROR(VLOOKUP(B732,'Commission Rates'!$A:$C,3,FALSE),0)</f>
        <v>0</v>
      </c>
      <c r="F732" s="8" t="str">
        <f>IF(B732="","",D732*E732)</f>
        <v/>
      </c>
      <c r="H732" t="str">
        <f>IF(A732="","",WEEKNUM(A732,1))</f>
        <v/>
      </c>
      <c r="I732" t="str">
        <f>IFERROR(INDEX('Pay Calendar'!$B$2:$B$10,MATCH(H732,'Pay Calendar'!$A$2:$A$10,0)),"")</f>
        <v/>
      </c>
    </row>
    <row r="733" spans="1:9" x14ac:dyDescent="0.2">
      <c r="A733" s="7"/>
      <c r="C733" t="str">
        <f>IFERROR(VLOOKUP(B733,'Commission Rates'!$A:$C,2,FALSE),"")</f>
        <v/>
      </c>
      <c r="E733" s="8">
        <f>IFERROR(VLOOKUP(B733,'Commission Rates'!$A:$C,3,FALSE),0)</f>
        <v>0</v>
      </c>
      <c r="F733" s="8" t="str">
        <f>IF(B733="","",D733*E733)</f>
        <v/>
      </c>
      <c r="H733" t="str">
        <f>IF(A733="","",WEEKNUM(A733,1))</f>
        <v/>
      </c>
      <c r="I733" t="str">
        <f>IFERROR(INDEX('Pay Calendar'!$B$2:$B$10,MATCH(H733,'Pay Calendar'!$A$2:$A$10,0)),"")</f>
        <v/>
      </c>
    </row>
    <row r="734" spans="1:9" x14ac:dyDescent="0.2">
      <c r="A734" s="7"/>
      <c r="C734" t="str">
        <f>IFERROR(VLOOKUP(B734,'Commission Rates'!$A:$C,2,FALSE),"")</f>
        <v/>
      </c>
      <c r="E734" s="8">
        <f>IFERROR(VLOOKUP(B734,'Commission Rates'!$A:$C,3,FALSE),0)</f>
        <v>0</v>
      </c>
      <c r="F734" s="8" t="str">
        <f>IF(B734="","",D734*E734)</f>
        <v/>
      </c>
      <c r="H734" t="str">
        <f>IF(A734="","",WEEKNUM(A734,1))</f>
        <v/>
      </c>
      <c r="I734" t="str">
        <f>IFERROR(INDEX('Pay Calendar'!$B$2:$B$10,MATCH(H734,'Pay Calendar'!$A$2:$A$10,0)),"")</f>
        <v/>
      </c>
    </row>
    <row r="735" spans="1:9" x14ac:dyDescent="0.2">
      <c r="A735" s="7"/>
      <c r="C735" t="str">
        <f>IFERROR(VLOOKUP(B735,'Commission Rates'!$A:$C,2,FALSE),"")</f>
        <v/>
      </c>
      <c r="E735" s="8">
        <f>IFERROR(VLOOKUP(B735,'Commission Rates'!$A:$C,3,FALSE),0)</f>
        <v>0</v>
      </c>
      <c r="F735" s="8" t="str">
        <f>IF(B735="","",D735*E735)</f>
        <v/>
      </c>
      <c r="H735" t="str">
        <f>IF(A735="","",WEEKNUM(A735,1))</f>
        <v/>
      </c>
      <c r="I735" t="str">
        <f>IFERROR(INDEX('Pay Calendar'!$B$2:$B$10,MATCH(H735,'Pay Calendar'!$A$2:$A$10,0)),"")</f>
        <v/>
      </c>
    </row>
    <row r="736" spans="1:9" x14ac:dyDescent="0.2">
      <c r="A736" s="7"/>
      <c r="C736" t="str">
        <f>IFERROR(VLOOKUP(B736,'Commission Rates'!$A:$C,2,FALSE),"")</f>
        <v/>
      </c>
      <c r="E736" s="8">
        <f>IFERROR(VLOOKUP(B736,'Commission Rates'!$A:$C,3,FALSE),0)</f>
        <v>0</v>
      </c>
      <c r="F736" s="8" t="str">
        <f>IF(B736="","",D736*E736)</f>
        <v/>
      </c>
      <c r="H736" t="str">
        <f>IF(A736="","",WEEKNUM(A736,1))</f>
        <v/>
      </c>
      <c r="I736" t="str">
        <f>IFERROR(INDEX('Pay Calendar'!$B$2:$B$10,MATCH(H736,'Pay Calendar'!$A$2:$A$10,0)),"")</f>
        <v/>
      </c>
    </row>
    <row r="737" spans="1:9" x14ac:dyDescent="0.2">
      <c r="A737" s="7"/>
      <c r="C737" t="str">
        <f>IFERROR(VLOOKUP(B737,'Commission Rates'!$A:$C,2,FALSE),"")</f>
        <v/>
      </c>
      <c r="E737" s="8">
        <f>IFERROR(VLOOKUP(B737,'Commission Rates'!$A:$C,3,FALSE),0)</f>
        <v>0</v>
      </c>
      <c r="F737" s="8" t="str">
        <f>IF(B737="","",D737*E737)</f>
        <v/>
      </c>
      <c r="H737" t="str">
        <f>IF(A737="","",WEEKNUM(A737,1))</f>
        <v/>
      </c>
      <c r="I737" t="str">
        <f>IFERROR(INDEX('Pay Calendar'!$B$2:$B$10,MATCH(H737,'Pay Calendar'!$A$2:$A$10,0)),"")</f>
        <v/>
      </c>
    </row>
    <row r="738" spans="1:9" x14ac:dyDescent="0.2">
      <c r="A738" s="7"/>
      <c r="C738" t="str">
        <f>IFERROR(VLOOKUP(B738,'Commission Rates'!$A:$C,2,FALSE),"")</f>
        <v/>
      </c>
      <c r="E738" s="8">
        <f>IFERROR(VLOOKUP(B738,'Commission Rates'!$A:$C,3,FALSE),0)</f>
        <v>0</v>
      </c>
      <c r="F738" s="8" t="str">
        <f>IF(B738="","",D738*E738)</f>
        <v/>
      </c>
      <c r="H738" t="str">
        <f>IF(A738="","",WEEKNUM(A738,1))</f>
        <v/>
      </c>
      <c r="I738" t="str">
        <f>IFERROR(INDEX('Pay Calendar'!$B$2:$B$10,MATCH(H738,'Pay Calendar'!$A$2:$A$10,0)),"")</f>
        <v/>
      </c>
    </row>
    <row r="739" spans="1:9" x14ac:dyDescent="0.2">
      <c r="A739" s="7"/>
      <c r="C739" t="str">
        <f>IFERROR(VLOOKUP(B739,'Commission Rates'!$A:$C,2,FALSE),"")</f>
        <v/>
      </c>
      <c r="E739" s="8">
        <f>IFERROR(VLOOKUP(B739,'Commission Rates'!$A:$C,3,FALSE),0)</f>
        <v>0</v>
      </c>
      <c r="F739" s="8" t="str">
        <f>IF(B739="","",D739*E739)</f>
        <v/>
      </c>
      <c r="H739" t="str">
        <f>IF(A739="","",WEEKNUM(A739,1))</f>
        <v/>
      </c>
      <c r="I739" t="str">
        <f>IFERROR(INDEX('Pay Calendar'!$B$2:$B$10,MATCH(H739,'Pay Calendar'!$A$2:$A$10,0)),"")</f>
        <v/>
      </c>
    </row>
    <row r="740" spans="1:9" x14ac:dyDescent="0.2">
      <c r="A740" s="7"/>
      <c r="C740" t="str">
        <f>IFERROR(VLOOKUP(B740,'Commission Rates'!$A:$C,2,FALSE),"")</f>
        <v/>
      </c>
      <c r="E740" s="8">
        <f>IFERROR(VLOOKUP(B740,'Commission Rates'!$A:$C,3,FALSE),0)</f>
        <v>0</v>
      </c>
      <c r="F740" s="8" t="str">
        <f>IF(B740="","",D740*E740)</f>
        <v/>
      </c>
      <c r="H740" t="str">
        <f>IF(A740="","",WEEKNUM(A740,1))</f>
        <v/>
      </c>
      <c r="I740" t="str">
        <f>IFERROR(INDEX('Pay Calendar'!$B$2:$B$10,MATCH(H740,'Pay Calendar'!$A$2:$A$10,0)),"")</f>
        <v/>
      </c>
    </row>
    <row r="741" spans="1:9" x14ac:dyDescent="0.2">
      <c r="A741" s="7"/>
      <c r="C741" t="str">
        <f>IFERROR(VLOOKUP(B741,'Commission Rates'!$A:$C,2,FALSE),"")</f>
        <v/>
      </c>
      <c r="E741" s="8">
        <f>IFERROR(VLOOKUP(B741,'Commission Rates'!$A:$C,3,FALSE),0)</f>
        <v>0</v>
      </c>
      <c r="F741" s="8" t="str">
        <f>IF(B741="","",D741*E741)</f>
        <v/>
      </c>
      <c r="H741" t="str">
        <f>IF(A741="","",WEEKNUM(A741,1))</f>
        <v/>
      </c>
      <c r="I741" t="str">
        <f>IFERROR(INDEX('Pay Calendar'!$B$2:$B$10,MATCH(H741,'Pay Calendar'!$A$2:$A$10,0)),"")</f>
        <v/>
      </c>
    </row>
    <row r="742" spans="1:9" x14ac:dyDescent="0.2">
      <c r="A742" s="7"/>
      <c r="C742" t="str">
        <f>IFERROR(VLOOKUP(B742,'Commission Rates'!$A:$C,2,FALSE),"")</f>
        <v/>
      </c>
      <c r="E742" s="8">
        <f>IFERROR(VLOOKUP(B742,'Commission Rates'!$A:$C,3,FALSE),0)</f>
        <v>0</v>
      </c>
      <c r="F742" s="8" t="str">
        <f>IF(B742="","",D742*E742)</f>
        <v/>
      </c>
      <c r="H742" t="str">
        <f>IF(A742="","",WEEKNUM(A742,1))</f>
        <v/>
      </c>
      <c r="I742" t="str">
        <f>IFERROR(INDEX('Pay Calendar'!$B$2:$B$10,MATCH(H742,'Pay Calendar'!$A$2:$A$10,0)),"")</f>
        <v/>
      </c>
    </row>
    <row r="743" spans="1:9" x14ac:dyDescent="0.2">
      <c r="A743" s="7"/>
      <c r="C743" t="str">
        <f>IFERROR(VLOOKUP(B743,'Commission Rates'!$A:$C,2,FALSE),"")</f>
        <v/>
      </c>
      <c r="E743" s="8">
        <f>IFERROR(VLOOKUP(B743,'Commission Rates'!$A:$C,3,FALSE),0)</f>
        <v>0</v>
      </c>
      <c r="F743" s="8" t="str">
        <f>IF(B743="","",D743*E743)</f>
        <v/>
      </c>
      <c r="H743" t="str">
        <f>IF(A743="","",WEEKNUM(A743,1))</f>
        <v/>
      </c>
      <c r="I743" t="str">
        <f>IFERROR(INDEX('Pay Calendar'!$B$2:$B$10,MATCH(H743,'Pay Calendar'!$A$2:$A$10,0)),"")</f>
        <v/>
      </c>
    </row>
    <row r="744" spans="1:9" x14ac:dyDescent="0.2">
      <c r="A744" s="7"/>
      <c r="C744" t="str">
        <f>IFERROR(VLOOKUP(B744,'Commission Rates'!$A:$C,2,FALSE),"")</f>
        <v/>
      </c>
      <c r="E744" s="8">
        <f>IFERROR(VLOOKUP(B744,'Commission Rates'!$A:$C,3,FALSE),0)</f>
        <v>0</v>
      </c>
      <c r="F744" s="8" t="str">
        <f>IF(B744="","",D744*E744)</f>
        <v/>
      </c>
      <c r="H744" t="str">
        <f>IF(A744="","",WEEKNUM(A744,1))</f>
        <v/>
      </c>
      <c r="I744" t="str">
        <f>IFERROR(INDEX('Pay Calendar'!$B$2:$B$10,MATCH(H744,'Pay Calendar'!$A$2:$A$10,0)),"")</f>
        <v/>
      </c>
    </row>
    <row r="745" spans="1:9" x14ac:dyDescent="0.2">
      <c r="A745" s="7"/>
      <c r="C745" t="str">
        <f>IFERROR(VLOOKUP(B745,'Commission Rates'!$A:$C,2,FALSE),"")</f>
        <v/>
      </c>
      <c r="E745" s="8">
        <f>IFERROR(VLOOKUP(B745,'Commission Rates'!$A:$C,3,FALSE),0)</f>
        <v>0</v>
      </c>
      <c r="F745" s="8" t="str">
        <f>IF(B745="","",D745*E745)</f>
        <v/>
      </c>
      <c r="H745" t="str">
        <f>IF(A745="","",WEEKNUM(A745,1))</f>
        <v/>
      </c>
      <c r="I745" t="str">
        <f>IFERROR(INDEX('Pay Calendar'!$B$2:$B$10,MATCH(H745,'Pay Calendar'!$A$2:$A$10,0)),"")</f>
        <v/>
      </c>
    </row>
    <row r="746" spans="1:9" x14ac:dyDescent="0.2">
      <c r="A746" s="7"/>
      <c r="C746" t="str">
        <f>IFERROR(VLOOKUP(B746,'Commission Rates'!$A:$C,2,FALSE),"")</f>
        <v/>
      </c>
      <c r="E746" s="8">
        <f>IFERROR(VLOOKUP(B746,'Commission Rates'!$A:$C,3,FALSE),0)</f>
        <v>0</v>
      </c>
      <c r="F746" s="8" t="str">
        <f>IF(B746="","",D746*E746)</f>
        <v/>
      </c>
      <c r="H746" t="str">
        <f>IF(A746="","",WEEKNUM(A746,1))</f>
        <v/>
      </c>
      <c r="I746" t="str">
        <f>IFERROR(INDEX('Pay Calendar'!$B$2:$B$10,MATCH(H746,'Pay Calendar'!$A$2:$A$10,0)),"")</f>
        <v/>
      </c>
    </row>
    <row r="747" spans="1:9" x14ac:dyDescent="0.2">
      <c r="A747" s="7"/>
      <c r="C747" t="str">
        <f>IFERROR(VLOOKUP(B747,'Commission Rates'!$A:$C,2,FALSE),"")</f>
        <v/>
      </c>
      <c r="E747" s="8">
        <f>IFERROR(VLOOKUP(B747,'Commission Rates'!$A:$C,3,FALSE),0)</f>
        <v>0</v>
      </c>
      <c r="F747" s="8" t="str">
        <f>IF(B747="","",D747*E747)</f>
        <v/>
      </c>
      <c r="H747" t="str">
        <f>IF(A747="","",WEEKNUM(A747,1))</f>
        <v/>
      </c>
      <c r="I747" t="str">
        <f>IFERROR(INDEX('Pay Calendar'!$B$2:$B$10,MATCH(H747,'Pay Calendar'!$A$2:$A$10,0)),"")</f>
        <v/>
      </c>
    </row>
    <row r="748" spans="1:9" x14ac:dyDescent="0.2">
      <c r="A748" s="7"/>
      <c r="C748" t="str">
        <f>IFERROR(VLOOKUP(B748,'Commission Rates'!$A:$C,2,FALSE),"")</f>
        <v/>
      </c>
      <c r="E748" s="8">
        <f>IFERROR(VLOOKUP(B748,'Commission Rates'!$A:$C,3,FALSE),0)</f>
        <v>0</v>
      </c>
      <c r="F748" s="8" t="str">
        <f>IF(B748="","",D748*E748)</f>
        <v/>
      </c>
      <c r="H748" t="str">
        <f>IF(A748="","",WEEKNUM(A748,1))</f>
        <v/>
      </c>
      <c r="I748" t="str">
        <f>IFERROR(INDEX('Pay Calendar'!$B$2:$B$10,MATCH(H748,'Pay Calendar'!$A$2:$A$10,0)),"")</f>
        <v/>
      </c>
    </row>
    <row r="749" spans="1:9" x14ac:dyDescent="0.2">
      <c r="A749" s="7"/>
      <c r="C749" t="str">
        <f>IFERROR(VLOOKUP(B749,'Commission Rates'!$A:$C,2,FALSE),"")</f>
        <v/>
      </c>
      <c r="E749" s="8">
        <f>IFERROR(VLOOKUP(B749,'Commission Rates'!$A:$C,3,FALSE),0)</f>
        <v>0</v>
      </c>
      <c r="F749" s="8" t="str">
        <f>IF(B749="","",D749*E749)</f>
        <v/>
      </c>
      <c r="H749" t="str">
        <f>IF(A749="","",WEEKNUM(A749,1))</f>
        <v/>
      </c>
      <c r="I749" t="str">
        <f>IFERROR(INDEX('Pay Calendar'!$B$2:$B$10,MATCH(H749,'Pay Calendar'!$A$2:$A$10,0)),"")</f>
        <v/>
      </c>
    </row>
    <row r="750" spans="1:9" x14ac:dyDescent="0.2">
      <c r="A750" s="7"/>
      <c r="C750" t="str">
        <f>IFERROR(VLOOKUP(B750,'Commission Rates'!$A:$C,2,FALSE),"")</f>
        <v/>
      </c>
      <c r="E750" s="8">
        <f>IFERROR(VLOOKUP(B750,'Commission Rates'!$A:$C,3,FALSE),0)</f>
        <v>0</v>
      </c>
      <c r="F750" s="8" t="str">
        <f>IF(B750="","",D750*E750)</f>
        <v/>
      </c>
      <c r="H750" t="str">
        <f>IF(A750="","",WEEKNUM(A750,1))</f>
        <v/>
      </c>
      <c r="I750" t="str">
        <f>IFERROR(INDEX('Pay Calendar'!$B$2:$B$10,MATCH(H750,'Pay Calendar'!$A$2:$A$10,0)),"")</f>
        <v/>
      </c>
    </row>
    <row r="751" spans="1:9" x14ac:dyDescent="0.2">
      <c r="A751" s="7"/>
      <c r="C751" t="str">
        <f>IFERROR(VLOOKUP(B751,'Commission Rates'!$A:$C,2,FALSE),"")</f>
        <v/>
      </c>
      <c r="E751" s="8">
        <f>IFERROR(VLOOKUP(B751,'Commission Rates'!$A:$C,3,FALSE),0)</f>
        <v>0</v>
      </c>
      <c r="F751" s="8" t="str">
        <f>IF(B751="","",D751*E751)</f>
        <v/>
      </c>
      <c r="H751" t="str">
        <f>IF(A751="","",WEEKNUM(A751,1))</f>
        <v/>
      </c>
      <c r="I751" t="str">
        <f>IFERROR(INDEX('Pay Calendar'!$B$2:$B$10,MATCH(H751,'Pay Calendar'!$A$2:$A$10,0)),"")</f>
        <v/>
      </c>
    </row>
    <row r="752" spans="1:9" x14ac:dyDescent="0.2">
      <c r="A752" s="7"/>
      <c r="C752" t="str">
        <f>IFERROR(VLOOKUP(B752,'Commission Rates'!$A:$C,2,FALSE),"")</f>
        <v/>
      </c>
      <c r="E752" s="8">
        <f>IFERROR(VLOOKUP(B752,'Commission Rates'!$A:$C,3,FALSE),0)</f>
        <v>0</v>
      </c>
      <c r="F752" s="8" t="str">
        <f>IF(B752="","",D752*E752)</f>
        <v/>
      </c>
      <c r="H752" t="str">
        <f>IF(A752="","",WEEKNUM(A752,1))</f>
        <v/>
      </c>
      <c r="I752" t="str">
        <f>IFERROR(INDEX('Pay Calendar'!$B$2:$B$10,MATCH(H752,'Pay Calendar'!$A$2:$A$10,0)),"")</f>
        <v/>
      </c>
    </row>
    <row r="753" spans="1:9" x14ac:dyDescent="0.2">
      <c r="A753" s="7"/>
      <c r="C753" t="str">
        <f>IFERROR(VLOOKUP(B753,'Commission Rates'!$A:$C,2,FALSE),"")</f>
        <v/>
      </c>
      <c r="E753" s="8">
        <f>IFERROR(VLOOKUP(B753,'Commission Rates'!$A:$C,3,FALSE),0)</f>
        <v>0</v>
      </c>
      <c r="F753" s="8" t="str">
        <f>IF(B753="","",D753*E753)</f>
        <v/>
      </c>
      <c r="H753" t="str">
        <f>IF(A753="","",WEEKNUM(A753,1))</f>
        <v/>
      </c>
      <c r="I753" t="str">
        <f>IFERROR(INDEX('Pay Calendar'!$B$2:$B$10,MATCH(H753,'Pay Calendar'!$A$2:$A$10,0)),"")</f>
        <v/>
      </c>
    </row>
    <row r="754" spans="1:9" x14ac:dyDescent="0.2">
      <c r="A754" s="7"/>
      <c r="C754" t="str">
        <f>IFERROR(VLOOKUP(B754,'Commission Rates'!$A:$C,2,FALSE),"")</f>
        <v/>
      </c>
      <c r="E754" s="8">
        <f>IFERROR(VLOOKUP(B754,'Commission Rates'!$A:$C,3,FALSE),0)</f>
        <v>0</v>
      </c>
      <c r="F754" s="8" t="str">
        <f>IF(B754="","",D754*E754)</f>
        <v/>
      </c>
      <c r="H754" t="str">
        <f>IF(A754="","",WEEKNUM(A754,1))</f>
        <v/>
      </c>
      <c r="I754" t="str">
        <f>IFERROR(INDEX('Pay Calendar'!$B$2:$B$10,MATCH(H754,'Pay Calendar'!$A$2:$A$10,0)),"")</f>
        <v/>
      </c>
    </row>
    <row r="755" spans="1:9" x14ac:dyDescent="0.2">
      <c r="A755" s="7"/>
      <c r="C755" t="str">
        <f>IFERROR(VLOOKUP(B755,'Commission Rates'!$A:$C,2,FALSE),"")</f>
        <v/>
      </c>
      <c r="E755" s="8">
        <f>IFERROR(VLOOKUP(B755,'Commission Rates'!$A:$C,3,FALSE),0)</f>
        <v>0</v>
      </c>
      <c r="F755" s="8" t="str">
        <f>IF(B755="","",D755*E755)</f>
        <v/>
      </c>
      <c r="H755" t="str">
        <f>IF(A755="","",WEEKNUM(A755,1))</f>
        <v/>
      </c>
      <c r="I755" t="str">
        <f>IFERROR(INDEX('Pay Calendar'!$B$2:$B$10,MATCH(H755,'Pay Calendar'!$A$2:$A$10,0)),"")</f>
        <v/>
      </c>
    </row>
    <row r="756" spans="1:9" x14ac:dyDescent="0.2">
      <c r="A756" s="7"/>
      <c r="C756" t="str">
        <f>IFERROR(VLOOKUP(B756,'Commission Rates'!$A:$C,2,FALSE),"")</f>
        <v/>
      </c>
      <c r="E756" s="8">
        <f>IFERROR(VLOOKUP(B756,'Commission Rates'!$A:$C,3,FALSE),0)</f>
        <v>0</v>
      </c>
      <c r="F756" s="8" t="str">
        <f>IF(B756="","",D756*E756)</f>
        <v/>
      </c>
      <c r="H756" t="str">
        <f>IF(A756="","",WEEKNUM(A756,1))</f>
        <v/>
      </c>
      <c r="I756" t="str">
        <f>IFERROR(INDEX('Pay Calendar'!$B$2:$B$10,MATCH(H756,'Pay Calendar'!$A$2:$A$10,0)),"")</f>
        <v/>
      </c>
    </row>
    <row r="757" spans="1:9" x14ac:dyDescent="0.2">
      <c r="A757" s="7"/>
      <c r="C757" t="str">
        <f>IFERROR(VLOOKUP(B757,'Commission Rates'!$A:$C,2,FALSE),"")</f>
        <v/>
      </c>
      <c r="E757" s="8">
        <f>IFERROR(VLOOKUP(B757,'Commission Rates'!$A:$C,3,FALSE),0)</f>
        <v>0</v>
      </c>
      <c r="F757" s="8" t="str">
        <f>IF(B757="","",D757*E757)</f>
        <v/>
      </c>
      <c r="H757" t="str">
        <f>IF(A757="","",WEEKNUM(A757,1))</f>
        <v/>
      </c>
      <c r="I757" t="str">
        <f>IFERROR(INDEX('Pay Calendar'!$B$2:$B$10,MATCH(H757,'Pay Calendar'!$A$2:$A$10,0)),"")</f>
        <v/>
      </c>
    </row>
    <row r="758" spans="1:9" x14ac:dyDescent="0.2">
      <c r="A758" s="7"/>
      <c r="C758" t="str">
        <f>IFERROR(VLOOKUP(B758,'Commission Rates'!$A:$C,2,FALSE),"")</f>
        <v/>
      </c>
      <c r="E758" s="8">
        <f>IFERROR(VLOOKUP(B758,'Commission Rates'!$A:$C,3,FALSE),0)</f>
        <v>0</v>
      </c>
      <c r="F758" s="8" t="str">
        <f>IF(B758="","",D758*E758)</f>
        <v/>
      </c>
      <c r="H758" t="str">
        <f>IF(A758="","",WEEKNUM(A758,1))</f>
        <v/>
      </c>
      <c r="I758" t="str">
        <f>IFERROR(INDEX('Pay Calendar'!$B$2:$B$10,MATCH(H758,'Pay Calendar'!$A$2:$A$10,0)),"")</f>
        <v/>
      </c>
    </row>
    <row r="759" spans="1:9" x14ac:dyDescent="0.2">
      <c r="A759" s="7"/>
      <c r="C759" t="str">
        <f>IFERROR(VLOOKUP(B759,'Commission Rates'!$A:$C,2,FALSE),"")</f>
        <v/>
      </c>
      <c r="E759" s="8">
        <f>IFERROR(VLOOKUP(B759,'Commission Rates'!$A:$C,3,FALSE),0)</f>
        <v>0</v>
      </c>
      <c r="F759" s="8" t="str">
        <f>IF(B759="","",D759*E759)</f>
        <v/>
      </c>
      <c r="H759" t="str">
        <f>IF(A759="","",WEEKNUM(A759,1))</f>
        <v/>
      </c>
      <c r="I759" t="str">
        <f>IFERROR(INDEX('Pay Calendar'!$B$2:$B$10,MATCH(H759,'Pay Calendar'!$A$2:$A$10,0)),"")</f>
        <v/>
      </c>
    </row>
    <row r="760" spans="1:9" x14ac:dyDescent="0.2">
      <c r="A760" s="7"/>
      <c r="C760" t="str">
        <f>IFERROR(VLOOKUP(B760,'Commission Rates'!$A:$C,2,FALSE),"")</f>
        <v/>
      </c>
      <c r="E760" s="8">
        <f>IFERROR(VLOOKUP(B760,'Commission Rates'!$A:$C,3,FALSE),0)</f>
        <v>0</v>
      </c>
      <c r="F760" s="8" t="str">
        <f>IF(B760="","",D760*E760)</f>
        <v/>
      </c>
      <c r="H760" t="str">
        <f>IF(A760="","",WEEKNUM(A760,1))</f>
        <v/>
      </c>
      <c r="I760" t="str">
        <f>IFERROR(INDEX('Pay Calendar'!$B$2:$B$10,MATCH(H760,'Pay Calendar'!$A$2:$A$10,0)),"")</f>
        <v/>
      </c>
    </row>
    <row r="761" spans="1:9" x14ac:dyDescent="0.2">
      <c r="A761" s="7"/>
      <c r="C761" t="str">
        <f>IFERROR(VLOOKUP(B761,'Commission Rates'!$A:$C,2,FALSE),"")</f>
        <v/>
      </c>
      <c r="E761" s="8">
        <f>IFERROR(VLOOKUP(B761,'Commission Rates'!$A:$C,3,FALSE),0)</f>
        <v>0</v>
      </c>
      <c r="F761" s="8" t="str">
        <f>IF(B761="","",D761*E761)</f>
        <v/>
      </c>
      <c r="H761" t="str">
        <f>IF(A761="","",WEEKNUM(A761,1))</f>
        <v/>
      </c>
      <c r="I761" t="str">
        <f>IFERROR(INDEX('Pay Calendar'!$B$2:$B$10,MATCH(H761,'Pay Calendar'!$A$2:$A$10,0)),"")</f>
        <v/>
      </c>
    </row>
    <row r="762" spans="1:9" x14ac:dyDescent="0.2">
      <c r="A762" s="7"/>
      <c r="C762" t="str">
        <f>IFERROR(VLOOKUP(B762,'Commission Rates'!$A:$C,2,FALSE),"")</f>
        <v/>
      </c>
      <c r="E762" s="8">
        <f>IFERROR(VLOOKUP(B762,'Commission Rates'!$A:$C,3,FALSE),0)</f>
        <v>0</v>
      </c>
      <c r="F762" s="8" t="str">
        <f>IF(B762="","",D762*E762)</f>
        <v/>
      </c>
      <c r="H762" t="str">
        <f>IF(A762="","",WEEKNUM(A762,1))</f>
        <v/>
      </c>
      <c r="I762" t="str">
        <f>IFERROR(INDEX('Pay Calendar'!$B$2:$B$10,MATCH(H762,'Pay Calendar'!$A$2:$A$10,0)),"")</f>
        <v/>
      </c>
    </row>
    <row r="763" spans="1:9" x14ac:dyDescent="0.2">
      <c r="A763" s="7"/>
      <c r="C763" t="str">
        <f>IFERROR(VLOOKUP(B763,'Commission Rates'!$A:$C,2,FALSE),"")</f>
        <v/>
      </c>
      <c r="E763" s="8">
        <f>IFERROR(VLOOKUP(B763,'Commission Rates'!$A:$C,3,FALSE),0)</f>
        <v>0</v>
      </c>
      <c r="F763" s="8" t="str">
        <f>IF(B763="","",D763*E763)</f>
        <v/>
      </c>
      <c r="H763" t="str">
        <f>IF(A763="","",WEEKNUM(A763,1))</f>
        <v/>
      </c>
      <c r="I763" t="str">
        <f>IFERROR(INDEX('Pay Calendar'!$B$2:$B$10,MATCH(H763,'Pay Calendar'!$A$2:$A$10,0)),"")</f>
        <v/>
      </c>
    </row>
    <row r="764" spans="1:9" x14ac:dyDescent="0.2">
      <c r="A764" s="7"/>
      <c r="C764" t="str">
        <f>IFERROR(VLOOKUP(B764,'Commission Rates'!$A:$C,2,FALSE),"")</f>
        <v/>
      </c>
      <c r="E764" s="8">
        <f>IFERROR(VLOOKUP(B764,'Commission Rates'!$A:$C,3,FALSE),0)</f>
        <v>0</v>
      </c>
      <c r="F764" s="8" t="str">
        <f>IF(B764="","",D764*E764)</f>
        <v/>
      </c>
      <c r="H764" t="str">
        <f>IF(A764="","",WEEKNUM(A764,1))</f>
        <v/>
      </c>
      <c r="I764" t="str">
        <f>IFERROR(INDEX('Pay Calendar'!$B$2:$B$10,MATCH(H764,'Pay Calendar'!$A$2:$A$10,0)),"")</f>
        <v/>
      </c>
    </row>
    <row r="765" spans="1:9" x14ac:dyDescent="0.2">
      <c r="A765" s="7"/>
      <c r="C765" t="str">
        <f>IFERROR(VLOOKUP(B765,'Commission Rates'!$A:$C,2,FALSE),"")</f>
        <v/>
      </c>
      <c r="E765" s="8">
        <f>IFERROR(VLOOKUP(B765,'Commission Rates'!$A:$C,3,FALSE),0)</f>
        <v>0</v>
      </c>
      <c r="F765" s="8" t="str">
        <f>IF(B765="","",D765*E765)</f>
        <v/>
      </c>
      <c r="H765" t="str">
        <f>IF(A765="","",WEEKNUM(A765,1))</f>
        <v/>
      </c>
      <c r="I765" t="str">
        <f>IFERROR(INDEX('Pay Calendar'!$B$2:$B$10,MATCH(H765,'Pay Calendar'!$A$2:$A$10,0)),"")</f>
        <v/>
      </c>
    </row>
    <row r="766" spans="1:9" x14ac:dyDescent="0.2">
      <c r="A766" s="7"/>
      <c r="C766" t="str">
        <f>IFERROR(VLOOKUP(B766,'Commission Rates'!$A:$C,2,FALSE),"")</f>
        <v/>
      </c>
      <c r="E766" s="8">
        <f>IFERROR(VLOOKUP(B766,'Commission Rates'!$A:$C,3,FALSE),0)</f>
        <v>0</v>
      </c>
      <c r="F766" s="8" t="str">
        <f>IF(B766="","",D766*E766)</f>
        <v/>
      </c>
      <c r="H766" t="str">
        <f>IF(A766="","",WEEKNUM(A766,1))</f>
        <v/>
      </c>
      <c r="I766" t="str">
        <f>IFERROR(INDEX('Pay Calendar'!$B$2:$B$10,MATCH(H766,'Pay Calendar'!$A$2:$A$10,0)),"")</f>
        <v/>
      </c>
    </row>
    <row r="767" spans="1:9" x14ac:dyDescent="0.2">
      <c r="A767" s="7"/>
      <c r="C767" t="str">
        <f>IFERROR(VLOOKUP(B767,'Commission Rates'!$A:$C,2,FALSE),"")</f>
        <v/>
      </c>
      <c r="E767" s="8">
        <f>IFERROR(VLOOKUP(B767,'Commission Rates'!$A:$C,3,FALSE),0)</f>
        <v>0</v>
      </c>
      <c r="F767" s="8" t="str">
        <f>IF(B767="","",D767*E767)</f>
        <v/>
      </c>
      <c r="H767" t="str">
        <f>IF(A767="","",WEEKNUM(A767,1))</f>
        <v/>
      </c>
      <c r="I767" t="str">
        <f>IFERROR(INDEX('Pay Calendar'!$B$2:$B$10,MATCH(H767,'Pay Calendar'!$A$2:$A$10,0)),"")</f>
        <v/>
      </c>
    </row>
    <row r="768" spans="1:9" x14ac:dyDescent="0.2">
      <c r="A768" s="7"/>
      <c r="C768" t="str">
        <f>IFERROR(VLOOKUP(B768,'Commission Rates'!$A:$C,2,FALSE),"")</f>
        <v/>
      </c>
      <c r="E768" s="8">
        <f>IFERROR(VLOOKUP(B768,'Commission Rates'!$A:$C,3,FALSE),0)</f>
        <v>0</v>
      </c>
      <c r="F768" s="8" t="str">
        <f>IF(B768="","",D768*E768)</f>
        <v/>
      </c>
      <c r="H768" t="str">
        <f>IF(A768="","",WEEKNUM(A768,1))</f>
        <v/>
      </c>
      <c r="I768" t="str">
        <f>IFERROR(INDEX('Pay Calendar'!$B$2:$B$10,MATCH(H768,'Pay Calendar'!$A$2:$A$10,0)),"")</f>
        <v/>
      </c>
    </row>
    <row r="769" spans="1:9" x14ac:dyDescent="0.2">
      <c r="A769" s="7"/>
      <c r="C769" t="str">
        <f>IFERROR(VLOOKUP(B769,'Commission Rates'!$A:$C,2,FALSE),"")</f>
        <v/>
      </c>
      <c r="E769" s="8">
        <f>IFERROR(VLOOKUP(B769,'Commission Rates'!$A:$C,3,FALSE),0)</f>
        <v>0</v>
      </c>
      <c r="F769" s="8" t="str">
        <f>IF(B769="","",D769*E769)</f>
        <v/>
      </c>
      <c r="H769" t="str">
        <f>IF(A769="","",WEEKNUM(A769,1))</f>
        <v/>
      </c>
      <c r="I769" t="str">
        <f>IFERROR(INDEX('Pay Calendar'!$B$2:$B$10,MATCH(H769,'Pay Calendar'!$A$2:$A$10,0)),"")</f>
        <v/>
      </c>
    </row>
    <row r="770" spans="1:9" x14ac:dyDescent="0.2">
      <c r="A770" s="7"/>
      <c r="C770" t="str">
        <f>IFERROR(VLOOKUP(B770,'Commission Rates'!$A:$C,2,FALSE),"")</f>
        <v/>
      </c>
      <c r="E770" s="8">
        <f>IFERROR(VLOOKUP(B770,'Commission Rates'!$A:$C,3,FALSE),0)</f>
        <v>0</v>
      </c>
      <c r="F770" s="8" t="str">
        <f>IF(B770="","",D770*E770)</f>
        <v/>
      </c>
      <c r="H770" t="str">
        <f>IF(A770="","",WEEKNUM(A770,1))</f>
        <v/>
      </c>
      <c r="I770" t="str">
        <f>IFERROR(INDEX('Pay Calendar'!$B$2:$B$10,MATCH(H770,'Pay Calendar'!$A$2:$A$10,0)),"")</f>
        <v/>
      </c>
    </row>
    <row r="771" spans="1:9" x14ac:dyDescent="0.2">
      <c r="A771" s="7"/>
      <c r="C771" t="str">
        <f>IFERROR(VLOOKUP(B771,'Commission Rates'!$A:$C,2,FALSE),"")</f>
        <v/>
      </c>
      <c r="E771" s="8">
        <f>IFERROR(VLOOKUP(B771,'Commission Rates'!$A:$C,3,FALSE),0)</f>
        <v>0</v>
      </c>
      <c r="F771" s="8" t="str">
        <f>IF(B771="","",D771*E771)</f>
        <v/>
      </c>
      <c r="H771" t="str">
        <f>IF(A771="","",WEEKNUM(A771,1))</f>
        <v/>
      </c>
      <c r="I771" t="str">
        <f>IFERROR(INDEX('Pay Calendar'!$B$2:$B$10,MATCH(H771,'Pay Calendar'!$A$2:$A$10,0)),"")</f>
        <v/>
      </c>
    </row>
    <row r="772" spans="1:9" x14ac:dyDescent="0.2">
      <c r="A772" s="7"/>
      <c r="C772" t="str">
        <f>IFERROR(VLOOKUP(B772,'Commission Rates'!$A:$C,2,FALSE),"")</f>
        <v/>
      </c>
      <c r="E772" s="8">
        <f>IFERROR(VLOOKUP(B772,'Commission Rates'!$A:$C,3,FALSE),0)</f>
        <v>0</v>
      </c>
      <c r="F772" s="8" t="str">
        <f>IF(B772="","",D772*E772)</f>
        <v/>
      </c>
      <c r="H772" t="str">
        <f>IF(A772="","",WEEKNUM(A772,1))</f>
        <v/>
      </c>
      <c r="I772" t="str">
        <f>IFERROR(INDEX('Pay Calendar'!$B$2:$B$10,MATCH(H772,'Pay Calendar'!$A$2:$A$10,0)),"")</f>
        <v/>
      </c>
    </row>
    <row r="773" spans="1:9" x14ac:dyDescent="0.2">
      <c r="A773" s="7"/>
      <c r="C773" t="str">
        <f>IFERROR(VLOOKUP(B773,'Commission Rates'!$A:$C,2,FALSE),"")</f>
        <v/>
      </c>
      <c r="E773" s="8">
        <f>IFERROR(VLOOKUP(B773,'Commission Rates'!$A:$C,3,FALSE),0)</f>
        <v>0</v>
      </c>
      <c r="F773" s="8" t="str">
        <f>IF(B773="","",D773*E773)</f>
        <v/>
      </c>
      <c r="H773" t="str">
        <f>IF(A773="","",WEEKNUM(A773,1))</f>
        <v/>
      </c>
      <c r="I773" t="str">
        <f>IFERROR(INDEX('Pay Calendar'!$B$2:$B$10,MATCH(H773,'Pay Calendar'!$A$2:$A$10,0)),"")</f>
        <v/>
      </c>
    </row>
    <row r="774" spans="1:9" x14ac:dyDescent="0.2">
      <c r="A774" s="7"/>
      <c r="C774" t="str">
        <f>IFERROR(VLOOKUP(B774,'Commission Rates'!$A:$C,2,FALSE),"")</f>
        <v/>
      </c>
      <c r="E774" s="8">
        <f>IFERROR(VLOOKUP(B774,'Commission Rates'!$A:$C,3,FALSE),0)</f>
        <v>0</v>
      </c>
      <c r="F774" s="8" t="str">
        <f>IF(B774="","",D774*E774)</f>
        <v/>
      </c>
      <c r="H774" t="str">
        <f>IF(A774="","",WEEKNUM(A774,1))</f>
        <v/>
      </c>
      <c r="I774" t="str">
        <f>IFERROR(INDEX('Pay Calendar'!$B$2:$B$10,MATCH(H774,'Pay Calendar'!$A$2:$A$10,0)),"")</f>
        <v/>
      </c>
    </row>
    <row r="775" spans="1:9" x14ac:dyDescent="0.2">
      <c r="A775" s="7"/>
      <c r="C775" t="str">
        <f>IFERROR(VLOOKUP(B775,'Commission Rates'!$A:$C,2,FALSE),"")</f>
        <v/>
      </c>
      <c r="E775" s="8">
        <f>IFERROR(VLOOKUP(B775,'Commission Rates'!$A:$C,3,FALSE),0)</f>
        <v>0</v>
      </c>
      <c r="F775" s="8" t="str">
        <f>IF(B775="","",D775*E775)</f>
        <v/>
      </c>
      <c r="H775" t="str">
        <f>IF(A775="","",WEEKNUM(A775,1))</f>
        <v/>
      </c>
      <c r="I775" t="str">
        <f>IFERROR(INDEX('Pay Calendar'!$B$2:$B$10,MATCH(H775,'Pay Calendar'!$A$2:$A$10,0)),"")</f>
        <v/>
      </c>
    </row>
    <row r="776" spans="1:9" x14ac:dyDescent="0.2">
      <c r="A776" s="7"/>
      <c r="C776" t="str">
        <f>IFERROR(VLOOKUP(B776,'Commission Rates'!$A:$C,2,FALSE),"")</f>
        <v/>
      </c>
      <c r="E776" s="8">
        <f>IFERROR(VLOOKUP(B776,'Commission Rates'!$A:$C,3,FALSE),0)</f>
        <v>0</v>
      </c>
      <c r="F776" s="8" t="str">
        <f>IF(B776="","",D776*E776)</f>
        <v/>
      </c>
      <c r="H776" t="str">
        <f>IF(A776="","",WEEKNUM(A776,1))</f>
        <v/>
      </c>
      <c r="I776" t="str">
        <f>IFERROR(INDEX('Pay Calendar'!$B$2:$B$10,MATCH(H776,'Pay Calendar'!$A$2:$A$10,0)),"")</f>
        <v/>
      </c>
    </row>
    <row r="777" spans="1:9" x14ac:dyDescent="0.2">
      <c r="A777" s="7"/>
      <c r="C777" t="str">
        <f>IFERROR(VLOOKUP(B777,'Commission Rates'!$A:$C,2,FALSE),"")</f>
        <v/>
      </c>
      <c r="E777" s="8">
        <f>IFERROR(VLOOKUP(B777,'Commission Rates'!$A:$C,3,FALSE),0)</f>
        <v>0</v>
      </c>
      <c r="F777" s="8" t="str">
        <f>IF(B777="","",D777*E777)</f>
        <v/>
      </c>
      <c r="H777" t="str">
        <f>IF(A777="","",WEEKNUM(A777,1))</f>
        <v/>
      </c>
      <c r="I777" t="str">
        <f>IFERROR(INDEX('Pay Calendar'!$B$2:$B$10,MATCH(H777,'Pay Calendar'!$A$2:$A$10,0)),"")</f>
        <v/>
      </c>
    </row>
    <row r="778" spans="1:9" x14ac:dyDescent="0.2">
      <c r="A778" s="7"/>
      <c r="C778" t="str">
        <f>IFERROR(VLOOKUP(B778,'Commission Rates'!$A:$C,2,FALSE),"")</f>
        <v/>
      </c>
      <c r="E778" s="8">
        <f>IFERROR(VLOOKUP(B778,'Commission Rates'!$A:$C,3,FALSE),0)</f>
        <v>0</v>
      </c>
      <c r="F778" s="8" t="str">
        <f>IF(B778="","",D778*E778)</f>
        <v/>
      </c>
      <c r="H778" t="str">
        <f>IF(A778="","",WEEKNUM(A778,1))</f>
        <v/>
      </c>
      <c r="I778" t="str">
        <f>IFERROR(INDEX('Pay Calendar'!$B$2:$B$10,MATCH(H778,'Pay Calendar'!$A$2:$A$10,0)),"")</f>
        <v/>
      </c>
    </row>
    <row r="779" spans="1:9" x14ac:dyDescent="0.2">
      <c r="A779" s="7"/>
      <c r="C779" t="str">
        <f>IFERROR(VLOOKUP(B779,'Commission Rates'!$A:$C,2,FALSE),"")</f>
        <v/>
      </c>
      <c r="E779" s="8">
        <f>IFERROR(VLOOKUP(B779,'Commission Rates'!$A:$C,3,FALSE),0)</f>
        <v>0</v>
      </c>
      <c r="F779" s="8" t="str">
        <f>IF(B779="","",D779*E779)</f>
        <v/>
      </c>
      <c r="H779" t="str">
        <f>IF(A779="","",WEEKNUM(A779,1))</f>
        <v/>
      </c>
      <c r="I779" t="str">
        <f>IFERROR(INDEX('Pay Calendar'!$B$2:$B$10,MATCH(H779,'Pay Calendar'!$A$2:$A$10,0)),"")</f>
        <v/>
      </c>
    </row>
    <row r="780" spans="1:9" x14ac:dyDescent="0.2">
      <c r="A780" s="7"/>
      <c r="C780" t="str">
        <f>IFERROR(VLOOKUP(B780,'Commission Rates'!$A:$C,2,FALSE),"")</f>
        <v/>
      </c>
      <c r="E780" s="8">
        <f>IFERROR(VLOOKUP(B780,'Commission Rates'!$A:$C,3,FALSE),0)</f>
        <v>0</v>
      </c>
      <c r="F780" s="8" t="str">
        <f>IF(B780="","",D780*E780)</f>
        <v/>
      </c>
      <c r="H780" t="str">
        <f>IF(A780="","",WEEKNUM(A780,1))</f>
        <v/>
      </c>
      <c r="I780" t="str">
        <f>IFERROR(INDEX('Pay Calendar'!$B$2:$B$10,MATCH(H780,'Pay Calendar'!$A$2:$A$10,0)),"")</f>
        <v/>
      </c>
    </row>
    <row r="781" spans="1:9" x14ac:dyDescent="0.2">
      <c r="A781" s="7"/>
      <c r="C781" t="str">
        <f>IFERROR(VLOOKUP(B781,'Commission Rates'!$A:$C,2,FALSE),"")</f>
        <v/>
      </c>
      <c r="E781" s="8">
        <f>IFERROR(VLOOKUP(B781,'Commission Rates'!$A:$C,3,FALSE),0)</f>
        <v>0</v>
      </c>
      <c r="F781" s="8" t="str">
        <f>IF(B781="","",D781*E781)</f>
        <v/>
      </c>
      <c r="H781" t="str">
        <f>IF(A781="","",WEEKNUM(A781,1))</f>
        <v/>
      </c>
      <c r="I781" t="str">
        <f>IFERROR(INDEX('Pay Calendar'!$B$2:$B$10,MATCH(H781,'Pay Calendar'!$A$2:$A$10,0)),"")</f>
        <v/>
      </c>
    </row>
    <row r="782" spans="1:9" x14ac:dyDescent="0.2">
      <c r="A782" s="7"/>
      <c r="C782" t="str">
        <f>IFERROR(VLOOKUP(B782,'Commission Rates'!$A:$C,2,FALSE),"")</f>
        <v/>
      </c>
      <c r="E782" s="8">
        <f>IFERROR(VLOOKUP(B782,'Commission Rates'!$A:$C,3,FALSE),0)</f>
        <v>0</v>
      </c>
      <c r="F782" s="8" t="str">
        <f>IF(B782="","",D782*E782)</f>
        <v/>
      </c>
      <c r="H782" t="str">
        <f>IF(A782="","",WEEKNUM(A782,1))</f>
        <v/>
      </c>
      <c r="I782" t="str">
        <f>IFERROR(INDEX('Pay Calendar'!$B$2:$B$10,MATCH(H782,'Pay Calendar'!$A$2:$A$10,0)),"")</f>
        <v/>
      </c>
    </row>
    <row r="783" spans="1:9" x14ac:dyDescent="0.2">
      <c r="A783" s="7"/>
      <c r="C783" t="str">
        <f>IFERROR(VLOOKUP(B783,'Commission Rates'!$A:$C,2,FALSE),"")</f>
        <v/>
      </c>
      <c r="E783" s="8">
        <f>IFERROR(VLOOKUP(B783,'Commission Rates'!$A:$C,3,FALSE),0)</f>
        <v>0</v>
      </c>
      <c r="F783" s="8" t="str">
        <f>IF(B783="","",D783*E783)</f>
        <v/>
      </c>
      <c r="H783" t="str">
        <f>IF(A783="","",WEEKNUM(A783,1))</f>
        <v/>
      </c>
      <c r="I783" t="str">
        <f>IFERROR(INDEX('Pay Calendar'!$B$2:$B$10,MATCH(H783,'Pay Calendar'!$A$2:$A$10,0)),"")</f>
        <v/>
      </c>
    </row>
    <row r="784" spans="1:9" x14ac:dyDescent="0.2">
      <c r="A784" s="7"/>
      <c r="C784" t="str">
        <f>IFERROR(VLOOKUP(B784,'Commission Rates'!$A:$C,2,FALSE),"")</f>
        <v/>
      </c>
      <c r="E784" s="8">
        <f>IFERROR(VLOOKUP(B784,'Commission Rates'!$A:$C,3,FALSE),0)</f>
        <v>0</v>
      </c>
      <c r="F784" s="8" t="str">
        <f>IF(B784="","",D784*E784)</f>
        <v/>
      </c>
      <c r="H784" t="str">
        <f>IF(A784="","",WEEKNUM(A784,1))</f>
        <v/>
      </c>
      <c r="I784" t="str">
        <f>IFERROR(INDEX('Pay Calendar'!$B$2:$B$10,MATCH(H784,'Pay Calendar'!$A$2:$A$10,0)),"")</f>
        <v/>
      </c>
    </row>
    <row r="785" spans="1:9" x14ac:dyDescent="0.2">
      <c r="A785" s="7"/>
      <c r="C785" t="str">
        <f>IFERROR(VLOOKUP(B785,'Commission Rates'!$A:$C,2,FALSE),"")</f>
        <v/>
      </c>
      <c r="E785" s="8">
        <f>IFERROR(VLOOKUP(B785,'Commission Rates'!$A:$C,3,FALSE),0)</f>
        <v>0</v>
      </c>
      <c r="F785" s="8" t="str">
        <f>IF(B785="","",D785*E785)</f>
        <v/>
      </c>
      <c r="H785" t="str">
        <f>IF(A785="","",WEEKNUM(A785,1))</f>
        <v/>
      </c>
      <c r="I785" t="str">
        <f>IFERROR(INDEX('Pay Calendar'!$B$2:$B$10,MATCH(H785,'Pay Calendar'!$A$2:$A$10,0)),"")</f>
        <v/>
      </c>
    </row>
    <row r="786" spans="1:9" x14ac:dyDescent="0.2">
      <c r="A786" s="7"/>
      <c r="C786" t="str">
        <f>IFERROR(VLOOKUP(B786,'Commission Rates'!$A:$C,2,FALSE),"")</f>
        <v/>
      </c>
      <c r="E786" s="8">
        <f>IFERROR(VLOOKUP(B786,'Commission Rates'!$A:$C,3,FALSE),0)</f>
        <v>0</v>
      </c>
      <c r="F786" s="8" t="str">
        <f>IF(B786="","",D786*E786)</f>
        <v/>
      </c>
      <c r="H786" t="str">
        <f>IF(A786="","",WEEKNUM(A786,1))</f>
        <v/>
      </c>
      <c r="I786" t="str">
        <f>IFERROR(INDEX('Pay Calendar'!$B$2:$B$10,MATCH(H786,'Pay Calendar'!$A$2:$A$10,0)),"")</f>
        <v/>
      </c>
    </row>
    <row r="787" spans="1:9" x14ac:dyDescent="0.2">
      <c r="A787" s="7"/>
      <c r="C787" t="str">
        <f>IFERROR(VLOOKUP(B787,'Commission Rates'!$A:$C,2,FALSE),"")</f>
        <v/>
      </c>
      <c r="E787" s="8">
        <f>IFERROR(VLOOKUP(B787,'Commission Rates'!$A:$C,3,FALSE),0)</f>
        <v>0</v>
      </c>
      <c r="F787" s="8" t="str">
        <f>IF(B787="","",D787*E787)</f>
        <v/>
      </c>
      <c r="H787" t="str">
        <f>IF(A787="","",WEEKNUM(A787,1))</f>
        <v/>
      </c>
      <c r="I787" t="str">
        <f>IFERROR(INDEX('Pay Calendar'!$B$2:$B$10,MATCH(H787,'Pay Calendar'!$A$2:$A$10,0)),"")</f>
        <v/>
      </c>
    </row>
    <row r="788" spans="1:9" x14ac:dyDescent="0.2">
      <c r="A788" s="7"/>
      <c r="C788" t="str">
        <f>IFERROR(VLOOKUP(B788,'Commission Rates'!$A:$C,2,FALSE),"")</f>
        <v/>
      </c>
      <c r="E788" s="8">
        <f>IFERROR(VLOOKUP(B788,'Commission Rates'!$A:$C,3,FALSE),0)</f>
        <v>0</v>
      </c>
      <c r="F788" s="8" t="str">
        <f>IF(B788="","",D788*E788)</f>
        <v/>
      </c>
      <c r="H788" t="str">
        <f>IF(A788="","",WEEKNUM(A788,1))</f>
        <v/>
      </c>
      <c r="I788" t="str">
        <f>IFERROR(INDEX('Pay Calendar'!$B$2:$B$10,MATCH(H788,'Pay Calendar'!$A$2:$A$10,0)),"")</f>
        <v/>
      </c>
    </row>
    <row r="789" spans="1:9" x14ac:dyDescent="0.2">
      <c r="A789" s="7"/>
      <c r="C789" t="str">
        <f>IFERROR(VLOOKUP(B789,'Commission Rates'!$A:$C,2,FALSE),"")</f>
        <v/>
      </c>
      <c r="E789" s="8">
        <f>IFERROR(VLOOKUP(B789,'Commission Rates'!$A:$C,3,FALSE),0)</f>
        <v>0</v>
      </c>
      <c r="F789" s="8" t="str">
        <f>IF(B789="","",D789*E789)</f>
        <v/>
      </c>
      <c r="H789" t="str">
        <f>IF(A789="","",WEEKNUM(A789,1))</f>
        <v/>
      </c>
      <c r="I789" t="str">
        <f>IFERROR(INDEX('Pay Calendar'!$B$2:$B$10,MATCH(H789,'Pay Calendar'!$A$2:$A$10,0)),"")</f>
        <v/>
      </c>
    </row>
    <row r="790" spans="1:9" x14ac:dyDescent="0.2">
      <c r="A790" s="7"/>
      <c r="C790" t="str">
        <f>IFERROR(VLOOKUP(B790,'Commission Rates'!$A:$C,2,FALSE),"")</f>
        <v/>
      </c>
      <c r="E790" s="8">
        <f>IFERROR(VLOOKUP(B790,'Commission Rates'!$A:$C,3,FALSE),0)</f>
        <v>0</v>
      </c>
      <c r="F790" s="8" t="str">
        <f>IF(B790="","",D790*E790)</f>
        <v/>
      </c>
      <c r="H790" t="str">
        <f>IF(A790="","",WEEKNUM(A790,1))</f>
        <v/>
      </c>
      <c r="I790" t="str">
        <f>IFERROR(INDEX('Pay Calendar'!$B$2:$B$10,MATCH(H790,'Pay Calendar'!$A$2:$A$10,0)),"")</f>
        <v/>
      </c>
    </row>
    <row r="791" spans="1:9" x14ac:dyDescent="0.2">
      <c r="A791" s="7"/>
      <c r="C791" t="str">
        <f>IFERROR(VLOOKUP(B791,'Commission Rates'!$A:$C,2,FALSE),"")</f>
        <v/>
      </c>
      <c r="E791" s="8">
        <f>IFERROR(VLOOKUP(B791,'Commission Rates'!$A:$C,3,FALSE),0)</f>
        <v>0</v>
      </c>
      <c r="F791" s="8" t="str">
        <f>IF(B791="","",D791*E791)</f>
        <v/>
      </c>
      <c r="H791" t="str">
        <f>IF(A791="","",WEEKNUM(A791,1))</f>
        <v/>
      </c>
      <c r="I791" t="str">
        <f>IFERROR(INDEX('Pay Calendar'!$B$2:$B$10,MATCH(H791,'Pay Calendar'!$A$2:$A$10,0)),"")</f>
        <v/>
      </c>
    </row>
    <row r="792" spans="1:9" x14ac:dyDescent="0.2">
      <c r="A792" s="7"/>
      <c r="C792" t="str">
        <f>IFERROR(VLOOKUP(B792,'Commission Rates'!$A:$C,2,FALSE),"")</f>
        <v/>
      </c>
      <c r="E792" s="8">
        <f>IFERROR(VLOOKUP(B792,'Commission Rates'!$A:$C,3,FALSE),0)</f>
        <v>0</v>
      </c>
      <c r="F792" s="8" t="str">
        <f>IF(B792="","",D792*E792)</f>
        <v/>
      </c>
      <c r="H792" t="str">
        <f>IF(A792="","",WEEKNUM(A792,1))</f>
        <v/>
      </c>
      <c r="I792" t="str">
        <f>IFERROR(INDEX('Pay Calendar'!$B$2:$B$10,MATCH(H792,'Pay Calendar'!$A$2:$A$10,0)),"")</f>
        <v/>
      </c>
    </row>
    <row r="793" spans="1:9" x14ac:dyDescent="0.2">
      <c r="A793" s="7"/>
      <c r="C793" t="str">
        <f>IFERROR(VLOOKUP(B793,'Commission Rates'!$A:$C,2,FALSE),"")</f>
        <v/>
      </c>
      <c r="E793" s="8">
        <f>IFERROR(VLOOKUP(B793,'Commission Rates'!$A:$C,3,FALSE),0)</f>
        <v>0</v>
      </c>
      <c r="F793" s="8" t="str">
        <f>IF(B793="","",D793*E793)</f>
        <v/>
      </c>
      <c r="H793" t="str">
        <f>IF(A793="","",WEEKNUM(A793,1))</f>
        <v/>
      </c>
      <c r="I793" t="str">
        <f>IFERROR(INDEX('Pay Calendar'!$B$2:$B$10,MATCH(H793,'Pay Calendar'!$A$2:$A$10,0)),"")</f>
        <v/>
      </c>
    </row>
    <row r="794" spans="1:9" x14ac:dyDescent="0.2">
      <c r="A794" s="7"/>
      <c r="C794" t="str">
        <f>IFERROR(VLOOKUP(B794,'Commission Rates'!$A:$C,2,FALSE),"")</f>
        <v/>
      </c>
      <c r="E794" s="8">
        <f>IFERROR(VLOOKUP(B794,'Commission Rates'!$A:$C,3,FALSE),0)</f>
        <v>0</v>
      </c>
      <c r="F794" s="8" t="str">
        <f>IF(B794="","",D794*E794)</f>
        <v/>
      </c>
      <c r="H794" t="str">
        <f>IF(A794="","",WEEKNUM(A794,1))</f>
        <v/>
      </c>
      <c r="I794" t="str">
        <f>IFERROR(INDEX('Pay Calendar'!$B$2:$B$10,MATCH(H794,'Pay Calendar'!$A$2:$A$10,0)),"")</f>
        <v/>
      </c>
    </row>
    <row r="795" spans="1:9" x14ac:dyDescent="0.2">
      <c r="A795" s="7"/>
      <c r="C795" t="str">
        <f>IFERROR(VLOOKUP(B795,'Commission Rates'!$A:$C,2,FALSE),"")</f>
        <v/>
      </c>
      <c r="E795" s="8">
        <f>IFERROR(VLOOKUP(B795,'Commission Rates'!$A:$C,3,FALSE),0)</f>
        <v>0</v>
      </c>
      <c r="F795" s="8" t="str">
        <f>IF(B795="","",D795*E795)</f>
        <v/>
      </c>
      <c r="H795" t="str">
        <f>IF(A795="","",WEEKNUM(A795,1))</f>
        <v/>
      </c>
      <c r="I795" t="str">
        <f>IFERROR(INDEX('Pay Calendar'!$B$2:$B$10,MATCH(H795,'Pay Calendar'!$A$2:$A$10,0)),"")</f>
        <v/>
      </c>
    </row>
    <row r="796" spans="1:9" x14ac:dyDescent="0.2">
      <c r="A796" s="7"/>
      <c r="C796" t="str">
        <f>IFERROR(VLOOKUP(B796,'Commission Rates'!$A:$C,2,FALSE),"")</f>
        <v/>
      </c>
      <c r="E796" s="8">
        <f>IFERROR(VLOOKUP(B796,'Commission Rates'!$A:$C,3,FALSE),0)</f>
        <v>0</v>
      </c>
      <c r="F796" s="8" t="str">
        <f>IF(B796="","",D796*E796)</f>
        <v/>
      </c>
      <c r="H796" t="str">
        <f>IF(A796="","",WEEKNUM(A796,1))</f>
        <v/>
      </c>
      <c r="I796" t="str">
        <f>IFERROR(INDEX('Pay Calendar'!$B$2:$B$10,MATCH(H796,'Pay Calendar'!$A$2:$A$10,0)),"")</f>
        <v/>
      </c>
    </row>
    <row r="797" spans="1:9" x14ac:dyDescent="0.2">
      <c r="A797" s="7"/>
      <c r="C797" t="str">
        <f>IFERROR(VLOOKUP(B797,'Commission Rates'!$A:$C,2,FALSE),"")</f>
        <v/>
      </c>
      <c r="E797" s="8">
        <f>IFERROR(VLOOKUP(B797,'Commission Rates'!$A:$C,3,FALSE),0)</f>
        <v>0</v>
      </c>
      <c r="F797" s="8" t="str">
        <f>IF(B797="","",D797*E797)</f>
        <v/>
      </c>
      <c r="H797" t="str">
        <f>IF(A797="","",WEEKNUM(A797,1))</f>
        <v/>
      </c>
      <c r="I797" t="str">
        <f>IFERROR(INDEX('Pay Calendar'!$B$2:$B$10,MATCH(H797,'Pay Calendar'!$A$2:$A$10,0)),"")</f>
        <v/>
      </c>
    </row>
    <row r="798" spans="1:9" x14ac:dyDescent="0.2">
      <c r="A798" s="7"/>
      <c r="C798" t="str">
        <f>IFERROR(VLOOKUP(B798,'Commission Rates'!$A:$C,2,FALSE),"")</f>
        <v/>
      </c>
      <c r="E798" s="8">
        <f>IFERROR(VLOOKUP(B798,'Commission Rates'!$A:$C,3,FALSE),0)</f>
        <v>0</v>
      </c>
      <c r="F798" s="8" t="str">
        <f>IF(B798="","",D798*E798)</f>
        <v/>
      </c>
      <c r="H798" t="str">
        <f>IF(A798="","",WEEKNUM(A798,1))</f>
        <v/>
      </c>
      <c r="I798" t="str">
        <f>IFERROR(INDEX('Pay Calendar'!$B$2:$B$10,MATCH(H798,'Pay Calendar'!$A$2:$A$10,0)),"")</f>
        <v/>
      </c>
    </row>
    <row r="799" spans="1:9" x14ac:dyDescent="0.2">
      <c r="A799" s="7"/>
      <c r="C799" t="str">
        <f>IFERROR(VLOOKUP(B799,'Commission Rates'!$A:$C,2,FALSE),"")</f>
        <v/>
      </c>
      <c r="E799" s="8">
        <f>IFERROR(VLOOKUP(B799,'Commission Rates'!$A:$C,3,FALSE),0)</f>
        <v>0</v>
      </c>
      <c r="F799" s="8" t="str">
        <f>IF(B799="","",D799*E799)</f>
        <v/>
      </c>
      <c r="H799" t="str">
        <f>IF(A799="","",WEEKNUM(A799,1))</f>
        <v/>
      </c>
      <c r="I799" t="str">
        <f>IFERROR(INDEX('Pay Calendar'!$B$2:$B$10,MATCH(H799,'Pay Calendar'!$A$2:$A$10,0)),"")</f>
        <v/>
      </c>
    </row>
    <row r="800" spans="1:9" x14ac:dyDescent="0.2">
      <c r="A800" s="7"/>
      <c r="C800" t="str">
        <f>IFERROR(VLOOKUP(B800,'Commission Rates'!$A:$C,2,FALSE),"")</f>
        <v/>
      </c>
      <c r="E800" s="8">
        <f>IFERROR(VLOOKUP(B800,'Commission Rates'!$A:$C,3,FALSE),0)</f>
        <v>0</v>
      </c>
      <c r="F800" s="8" t="str">
        <f>IF(B800="","",D800*E800)</f>
        <v/>
      </c>
      <c r="H800" t="str">
        <f>IF(A800="","",WEEKNUM(A800,1))</f>
        <v/>
      </c>
      <c r="I800" t="str">
        <f>IFERROR(INDEX('Pay Calendar'!$B$2:$B$10,MATCH(H800,'Pay Calendar'!$A$2:$A$10,0)),"")</f>
        <v/>
      </c>
    </row>
    <row r="801" spans="1:9" x14ac:dyDescent="0.2">
      <c r="A801" s="7"/>
      <c r="C801" t="str">
        <f>IFERROR(VLOOKUP(B801,'Commission Rates'!$A:$C,2,FALSE),"")</f>
        <v/>
      </c>
      <c r="E801" s="8">
        <f>IFERROR(VLOOKUP(B801,'Commission Rates'!$A:$C,3,FALSE),0)</f>
        <v>0</v>
      </c>
      <c r="F801" s="8" t="str">
        <f>IF(B801="","",D801*E801)</f>
        <v/>
      </c>
      <c r="H801" t="str">
        <f>IF(A801="","",WEEKNUM(A801,1))</f>
        <v/>
      </c>
      <c r="I801" t="str">
        <f>IFERROR(INDEX('Pay Calendar'!$B$2:$B$10,MATCH(H801,'Pay Calendar'!$A$2:$A$10,0)),"")</f>
        <v/>
      </c>
    </row>
    <row r="802" spans="1:9" x14ac:dyDescent="0.2">
      <c r="A802" s="7"/>
      <c r="C802" t="str">
        <f>IFERROR(VLOOKUP(B802,'Commission Rates'!$A:$C,2,FALSE),"")</f>
        <v/>
      </c>
      <c r="E802" s="8">
        <f>IFERROR(VLOOKUP(B802,'Commission Rates'!$A:$C,3,FALSE),0)</f>
        <v>0</v>
      </c>
      <c r="F802" s="8" t="str">
        <f>IF(B802="","",D802*E802)</f>
        <v/>
      </c>
      <c r="H802" t="str">
        <f>IF(A802="","",WEEKNUM(A802,1))</f>
        <v/>
      </c>
      <c r="I802" t="str">
        <f>IFERROR(INDEX('Pay Calendar'!$B$2:$B$10,MATCH(H802,'Pay Calendar'!$A$2:$A$10,0)),"")</f>
        <v/>
      </c>
    </row>
    <row r="803" spans="1:9" x14ac:dyDescent="0.2">
      <c r="A803" s="7"/>
      <c r="C803" t="str">
        <f>IFERROR(VLOOKUP(B803,'Commission Rates'!$A:$C,2,FALSE),"")</f>
        <v/>
      </c>
      <c r="E803" s="8">
        <f>IFERROR(VLOOKUP(B803,'Commission Rates'!$A:$C,3,FALSE),0)</f>
        <v>0</v>
      </c>
      <c r="F803" s="8" t="str">
        <f>IF(B803="","",D803*E803)</f>
        <v/>
      </c>
      <c r="H803" t="str">
        <f>IF(A803="","",WEEKNUM(A803,1))</f>
        <v/>
      </c>
      <c r="I803" t="str">
        <f>IFERROR(INDEX('Pay Calendar'!$B$2:$B$10,MATCH(H803,'Pay Calendar'!$A$2:$A$10,0)),"")</f>
        <v/>
      </c>
    </row>
    <row r="804" spans="1:9" x14ac:dyDescent="0.2">
      <c r="A804" s="7"/>
      <c r="C804" t="str">
        <f>IFERROR(VLOOKUP(B804,'Commission Rates'!$A:$C,2,FALSE),"")</f>
        <v/>
      </c>
      <c r="E804" s="8">
        <f>IFERROR(VLOOKUP(B804,'Commission Rates'!$A:$C,3,FALSE),0)</f>
        <v>0</v>
      </c>
      <c r="F804" s="8" t="str">
        <f>IF(B804="","",D804*E804)</f>
        <v/>
      </c>
      <c r="H804" t="str">
        <f>IF(A804="","",WEEKNUM(A804,1))</f>
        <v/>
      </c>
      <c r="I804" t="str">
        <f>IFERROR(INDEX('Pay Calendar'!$B$2:$B$10,MATCH(H804,'Pay Calendar'!$A$2:$A$10,0)),"")</f>
        <v/>
      </c>
    </row>
    <row r="805" spans="1:9" x14ac:dyDescent="0.2">
      <c r="A805" s="7"/>
      <c r="C805" t="str">
        <f>IFERROR(VLOOKUP(B805,'Commission Rates'!$A:$C,2,FALSE),"")</f>
        <v/>
      </c>
      <c r="E805" s="8">
        <f>IFERROR(VLOOKUP(B805,'Commission Rates'!$A:$C,3,FALSE),0)</f>
        <v>0</v>
      </c>
      <c r="F805" s="8" t="str">
        <f>IF(B805="","",D805*E805)</f>
        <v/>
      </c>
      <c r="H805" t="str">
        <f>IF(A805="","",WEEKNUM(A805,1))</f>
        <v/>
      </c>
      <c r="I805" t="str">
        <f>IFERROR(INDEX('Pay Calendar'!$B$2:$B$10,MATCH(H805,'Pay Calendar'!$A$2:$A$10,0)),"")</f>
        <v/>
      </c>
    </row>
    <row r="806" spans="1:9" x14ac:dyDescent="0.2">
      <c r="A806" s="7"/>
      <c r="C806" t="str">
        <f>IFERROR(VLOOKUP(B806,'Commission Rates'!$A:$C,2,FALSE),"")</f>
        <v/>
      </c>
      <c r="E806" s="8">
        <f>IFERROR(VLOOKUP(B806,'Commission Rates'!$A:$C,3,FALSE),0)</f>
        <v>0</v>
      </c>
      <c r="F806" s="8" t="str">
        <f>IF(B806="","",D806*E806)</f>
        <v/>
      </c>
      <c r="H806" t="str">
        <f>IF(A806="","",WEEKNUM(A806,1))</f>
        <v/>
      </c>
      <c r="I806" t="str">
        <f>IFERROR(INDEX('Pay Calendar'!$B$2:$B$10,MATCH(H806,'Pay Calendar'!$A$2:$A$10,0)),"")</f>
        <v/>
      </c>
    </row>
    <row r="807" spans="1:9" x14ac:dyDescent="0.2">
      <c r="A807" s="7"/>
      <c r="C807" t="str">
        <f>IFERROR(VLOOKUP(B807,'Commission Rates'!$A:$C,2,FALSE),"")</f>
        <v/>
      </c>
      <c r="E807" s="8">
        <f>IFERROR(VLOOKUP(B807,'Commission Rates'!$A:$C,3,FALSE),0)</f>
        <v>0</v>
      </c>
      <c r="F807" s="8" t="str">
        <f>IF(B807="","",D807*E807)</f>
        <v/>
      </c>
      <c r="H807" t="str">
        <f>IF(A807="","",WEEKNUM(A807,1))</f>
        <v/>
      </c>
      <c r="I807" t="str">
        <f>IFERROR(INDEX('Pay Calendar'!$B$2:$B$10,MATCH(H807,'Pay Calendar'!$A$2:$A$10,0)),"")</f>
        <v/>
      </c>
    </row>
    <row r="808" spans="1:9" x14ac:dyDescent="0.2">
      <c r="A808" s="7"/>
      <c r="C808" t="str">
        <f>IFERROR(VLOOKUP(B808,'Commission Rates'!$A:$C,2,FALSE),"")</f>
        <v/>
      </c>
      <c r="E808" s="8">
        <f>IFERROR(VLOOKUP(B808,'Commission Rates'!$A:$C,3,FALSE),0)</f>
        <v>0</v>
      </c>
      <c r="F808" s="8" t="str">
        <f>IF(B808="","",D808*E808)</f>
        <v/>
      </c>
      <c r="H808" t="str">
        <f>IF(A808="","",WEEKNUM(A808,1))</f>
        <v/>
      </c>
      <c r="I808" t="str">
        <f>IFERROR(INDEX('Pay Calendar'!$B$2:$B$10,MATCH(H808,'Pay Calendar'!$A$2:$A$10,0)),"")</f>
        <v/>
      </c>
    </row>
    <row r="809" spans="1:9" x14ac:dyDescent="0.2">
      <c r="A809" s="7"/>
      <c r="C809" t="str">
        <f>IFERROR(VLOOKUP(B809,'Commission Rates'!$A:$C,2,FALSE),"")</f>
        <v/>
      </c>
      <c r="E809" s="8">
        <f>IFERROR(VLOOKUP(B809,'Commission Rates'!$A:$C,3,FALSE),0)</f>
        <v>0</v>
      </c>
      <c r="F809" s="8" t="str">
        <f>IF(B809="","",D809*E809)</f>
        <v/>
      </c>
      <c r="H809" t="str">
        <f>IF(A809="","",WEEKNUM(A809,1))</f>
        <v/>
      </c>
      <c r="I809" t="str">
        <f>IFERROR(INDEX('Pay Calendar'!$B$2:$B$10,MATCH(H809,'Pay Calendar'!$A$2:$A$10,0)),"")</f>
        <v/>
      </c>
    </row>
    <row r="810" spans="1:9" x14ac:dyDescent="0.2">
      <c r="A810" s="7"/>
      <c r="C810" t="str">
        <f>IFERROR(VLOOKUP(B810,'Commission Rates'!$A:$C,2,FALSE),"")</f>
        <v/>
      </c>
      <c r="E810" s="8">
        <f>IFERROR(VLOOKUP(B810,'Commission Rates'!$A:$C,3,FALSE),0)</f>
        <v>0</v>
      </c>
      <c r="F810" s="8" t="str">
        <f>IF(B810="","",D810*E810)</f>
        <v/>
      </c>
      <c r="H810" t="str">
        <f>IF(A810="","",WEEKNUM(A810,1))</f>
        <v/>
      </c>
      <c r="I810" t="str">
        <f>IFERROR(INDEX('Pay Calendar'!$B$2:$B$10,MATCH(H810,'Pay Calendar'!$A$2:$A$10,0)),"")</f>
        <v/>
      </c>
    </row>
    <row r="811" spans="1:9" x14ac:dyDescent="0.2">
      <c r="A811" s="7"/>
      <c r="C811" t="str">
        <f>IFERROR(VLOOKUP(B811,'Commission Rates'!$A:$C,2,FALSE),"")</f>
        <v/>
      </c>
      <c r="E811" s="8">
        <f>IFERROR(VLOOKUP(B811,'Commission Rates'!$A:$C,3,FALSE),0)</f>
        <v>0</v>
      </c>
      <c r="F811" s="8" t="str">
        <f>IF(B811="","",D811*E811)</f>
        <v/>
      </c>
      <c r="H811" t="str">
        <f>IF(A811="","",WEEKNUM(A811,1))</f>
        <v/>
      </c>
      <c r="I811" t="str">
        <f>IFERROR(INDEX('Pay Calendar'!$B$2:$B$10,MATCH(H811,'Pay Calendar'!$A$2:$A$10,0)),"")</f>
        <v/>
      </c>
    </row>
    <row r="812" spans="1:9" x14ac:dyDescent="0.2">
      <c r="A812" s="7"/>
      <c r="C812" t="str">
        <f>IFERROR(VLOOKUP(B812,'Commission Rates'!$A:$C,2,FALSE),"")</f>
        <v/>
      </c>
      <c r="E812" s="8">
        <f>IFERROR(VLOOKUP(B812,'Commission Rates'!$A:$C,3,FALSE),0)</f>
        <v>0</v>
      </c>
      <c r="F812" s="8" t="str">
        <f>IF(B812="","",D812*E812)</f>
        <v/>
      </c>
      <c r="H812" t="str">
        <f>IF(A812="","",WEEKNUM(A812,1))</f>
        <v/>
      </c>
      <c r="I812" t="str">
        <f>IFERROR(INDEX('Pay Calendar'!$B$2:$B$10,MATCH(H812,'Pay Calendar'!$A$2:$A$10,0)),"")</f>
        <v/>
      </c>
    </row>
    <row r="813" spans="1:9" x14ac:dyDescent="0.2">
      <c r="A813" s="7"/>
      <c r="C813" t="str">
        <f>IFERROR(VLOOKUP(B813,'Commission Rates'!$A:$C,2,FALSE),"")</f>
        <v/>
      </c>
      <c r="E813" s="8">
        <f>IFERROR(VLOOKUP(B813,'Commission Rates'!$A:$C,3,FALSE),0)</f>
        <v>0</v>
      </c>
      <c r="F813" s="8" t="str">
        <f>IF(B813="","",D813*E813)</f>
        <v/>
      </c>
      <c r="H813" t="str">
        <f>IF(A813="","",WEEKNUM(A813,1))</f>
        <v/>
      </c>
      <c r="I813" t="str">
        <f>IFERROR(INDEX('Pay Calendar'!$B$2:$B$10,MATCH(H813,'Pay Calendar'!$A$2:$A$10,0)),"")</f>
        <v/>
      </c>
    </row>
    <row r="814" spans="1:9" x14ac:dyDescent="0.2">
      <c r="A814" s="7"/>
      <c r="C814" t="str">
        <f>IFERROR(VLOOKUP(B814,'Commission Rates'!$A:$C,2,FALSE),"")</f>
        <v/>
      </c>
      <c r="E814" s="8">
        <f>IFERROR(VLOOKUP(B814,'Commission Rates'!$A:$C,3,FALSE),0)</f>
        <v>0</v>
      </c>
      <c r="F814" s="8" t="str">
        <f>IF(B814="","",D814*E814)</f>
        <v/>
      </c>
      <c r="H814" t="str">
        <f>IF(A814="","",WEEKNUM(A814,1))</f>
        <v/>
      </c>
      <c r="I814" t="str">
        <f>IFERROR(INDEX('Pay Calendar'!$B$2:$B$10,MATCH(H814,'Pay Calendar'!$A$2:$A$10,0)),"")</f>
        <v/>
      </c>
    </row>
    <row r="815" spans="1:9" x14ac:dyDescent="0.2">
      <c r="A815" s="7"/>
      <c r="C815" t="str">
        <f>IFERROR(VLOOKUP(B815,'Commission Rates'!$A:$C,2,FALSE),"")</f>
        <v/>
      </c>
      <c r="E815" s="8">
        <f>IFERROR(VLOOKUP(B815,'Commission Rates'!$A:$C,3,FALSE),0)</f>
        <v>0</v>
      </c>
      <c r="F815" s="8" t="str">
        <f>IF(B815="","",D815*E815)</f>
        <v/>
      </c>
      <c r="H815" t="str">
        <f>IF(A815="","",WEEKNUM(A815,1))</f>
        <v/>
      </c>
      <c r="I815" t="str">
        <f>IFERROR(INDEX('Pay Calendar'!$B$2:$B$10,MATCH(H815,'Pay Calendar'!$A$2:$A$10,0)),"")</f>
        <v/>
      </c>
    </row>
    <row r="816" spans="1:9" x14ac:dyDescent="0.2">
      <c r="A816" s="7"/>
      <c r="C816" t="str">
        <f>IFERROR(VLOOKUP(B816,'Commission Rates'!$A:$C,2,FALSE),"")</f>
        <v/>
      </c>
      <c r="E816" s="8">
        <f>IFERROR(VLOOKUP(B816,'Commission Rates'!$A:$C,3,FALSE),0)</f>
        <v>0</v>
      </c>
      <c r="F816" s="8" t="str">
        <f>IF(B816="","",D816*E816)</f>
        <v/>
      </c>
      <c r="H816" t="str">
        <f>IF(A816="","",WEEKNUM(A816,1))</f>
        <v/>
      </c>
      <c r="I816" t="str">
        <f>IFERROR(INDEX('Pay Calendar'!$B$2:$B$10,MATCH(H816,'Pay Calendar'!$A$2:$A$10,0)),"")</f>
        <v/>
      </c>
    </row>
    <row r="817" spans="1:9" x14ac:dyDescent="0.2">
      <c r="A817" s="7"/>
      <c r="C817" t="str">
        <f>IFERROR(VLOOKUP(B817,'Commission Rates'!$A:$C,2,FALSE),"")</f>
        <v/>
      </c>
      <c r="E817" s="8">
        <f>IFERROR(VLOOKUP(B817,'Commission Rates'!$A:$C,3,FALSE),0)</f>
        <v>0</v>
      </c>
      <c r="F817" s="8" t="str">
        <f>IF(B817="","",D817*E817)</f>
        <v/>
      </c>
      <c r="H817" t="str">
        <f>IF(A817="","",WEEKNUM(A817,1))</f>
        <v/>
      </c>
      <c r="I817" t="str">
        <f>IFERROR(INDEX('Pay Calendar'!$B$2:$B$10,MATCH(H817,'Pay Calendar'!$A$2:$A$10,0)),"")</f>
        <v/>
      </c>
    </row>
    <row r="818" spans="1:9" x14ac:dyDescent="0.2">
      <c r="A818" s="7"/>
      <c r="C818" t="str">
        <f>IFERROR(VLOOKUP(B818,'Commission Rates'!$A:$C,2,FALSE),"")</f>
        <v/>
      </c>
      <c r="E818" s="8">
        <f>IFERROR(VLOOKUP(B818,'Commission Rates'!$A:$C,3,FALSE),0)</f>
        <v>0</v>
      </c>
      <c r="F818" s="8" t="str">
        <f>IF(B818="","",D818*E818)</f>
        <v/>
      </c>
      <c r="H818" t="str">
        <f>IF(A818="","",WEEKNUM(A818,1))</f>
        <v/>
      </c>
      <c r="I818" t="str">
        <f>IFERROR(INDEX('Pay Calendar'!$B$2:$B$10,MATCH(H818,'Pay Calendar'!$A$2:$A$10,0)),"")</f>
        <v/>
      </c>
    </row>
    <row r="819" spans="1:9" x14ac:dyDescent="0.2">
      <c r="A819" s="7"/>
      <c r="C819" t="str">
        <f>IFERROR(VLOOKUP(B819,'Commission Rates'!$A:$C,2,FALSE),"")</f>
        <v/>
      </c>
      <c r="E819" s="8">
        <f>IFERROR(VLOOKUP(B819,'Commission Rates'!$A:$C,3,FALSE),0)</f>
        <v>0</v>
      </c>
      <c r="F819" s="8" t="str">
        <f>IF(B819="","",D819*E819)</f>
        <v/>
      </c>
      <c r="H819" t="str">
        <f>IF(A819="","",WEEKNUM(A819,1))</f>
        <v/>
      </c>
      <c r="I819" t="str">
        <f>IFERROR(INDEX('Pay Calendar'!$B$2:$B$10,MATCH(H819,'Pay Calendar'!$A$2:$A$10,0)),"")</f>
        <v/>
      </c>
    </row>
    <row r="820" spans="1:9" x14ac:dyDescent="0.2">
      <c r="A820" s="7"/>
      <c r="C820" t="str">
        <f>IFERROR(VLOOKUP(B820,'Commission Rates'!$A:$C,2,FALSE),"")</f>
        <v/>
      </c>
      <c r="E820" s="8">
        <f>IFERROR(VLOOKUP(B820,'Commission Rates'!$A:$C,3,FALSE),0)</f>
        <v>0</v>
      </c>
      <c r="F820" s="8" t="str">
        <f>IF(B820="","",D820*E820)</f>
        <v/>
      </c>
      <c r="H820" t="str">
        <f>IF(A820="","",WEEKNUM(A820,1))</f>
        <v/>
      </c>
      <c r="I820" t="str">
        <f>IFERROR(INDEX('Pay Calendar'!$B$2:$B$10,MATCH(H820,'Pay Calendar'!$A$2:$A$10,0)),"")</f>
        <v/>
      </c>
    </row>
    <row r="821" spans="1:9" x14ac:dyDescent="0.2">
      <c r="A821" s="7"/>
      <c r="C821" t="str">
        <f>IFERROR(VLOOKUP(B821,'Commission Rates'!$A:$C,2,FALSE),"")</f>
        <v/>
      </c>
      <c r="E821" s="8">
        <f>IFERROR(VLOOKUP(B821,'Commission Rates'!$A:$C,3,FALSE),0)</f>
        <v>0</v>
      </c>
      <c r="F821" s="8" t="str">
        <f>IF(B821="","",D821*E821)</f>
        <v/>
      </c>
      <c r="H821" t="str">
        <f>IF(A821="","",WEEKNUM(A821,1))</f>
        <v/>
      </c>
      <c r="I821" t="str">
        <f>IFERROR(INDEX('Pay Calendar'!$B$2:$B$10,MATCH(H821,'Pay Calendar'!$A$2:$A$10,0)),"")</f>
        <v/>
      </c>
    </row>
    <row r="822" spans="1:9" x14ac:dyDescent="0.2">
      <c r="A822" s="7"/>
      <c r="C822" t="str">
        <f>IFERROR(VLOOKUP(B822,'Commission Rates'!$A:$C,2,FALSE),"")</f>
        <v/>
      </c>
      <c r="E822" s="8">
        <f>IFERROR(VLOOKUP(B822,'Commission Rates'!$A:$C,3,FALSE),0)</f>
        <v>0</v>
      </c>
      <c r="F822" s="8" t="str">
        <f>IF(B822="","",D822*E822)</f>
        <v/>
      </c>
      <c r="H822" t="str">
        <f>IF(A822="","",WEEKNUM(A822,1))</f>
        <v/>
      </c>
      <c r="I822" t="str">
        <f>IFERROR(INDEX('Pay Calendar'!$B$2:$B$10,MATCH(H822,'Pay Calendar'!$A$2:$A$10,0)),"")</f>
        <v/>
      </c>
    </row>
    <row r="823" spans="1:9" x14ac:dyDescent="0.2">
      <c r="A823" s="7"/>
      <c r="C823" t="str">
        <f>IFERROR(VLOOKUP(B823,'Commission Rates'!$A:$C,2,FALSE),"")</f>
        <v/>
      </c>
      <c r="E823" s="8">
        <f>IFERROR(VLOOKUP(B823,'Commission Rates'!$A:$C,3,FALSE),0)</f>
        <v>0</v>
      </c>
      <c r="F823" s="8" t="str">
        <f>IF(B823="","",D823*E823)</f>
        <v/>
      </c>
      <c r="H823" t="str">
        <f>IF(A823="","",WEEKNUM(A823,1))</f>
        <v/>
      </c>
      <c r="I823" t="str">
        <f>IFERROR(INDEX('Pay Calendar'!$B$2:$B$10,MATCH(H823,'Pay Calendar'!$A$2:$A$10,0)),"")</f>
        <v/>
      </c>
    </row>
    <row r="824" spans="1:9" x14ac:dyDescent="0.2">
      <c r="A824" s="7"/>
      <c r="C824" t="str">
        <f>IFERROR(VLOOKUP(B824,'Commission Rates'!$A:$C,2,FALSE),"")</f>
        <v/>
      </c>
      <c r="E824" s="8">
        <f>IFERROR(VLOOKUP(B824,'Commission Rates'!$A:$C,3,FALSE),0)</f>
        <v>0</v>
      </c>
      <c r="F824" s="8" t="str">
        <f>IF(B824="","",D824*E824)</f>
        <v/>
      </c>
      <c r="H824" t="str">
        <f>IF(A824="","",WEEKNUM(A824,1))</f>
        <v/>
      </c>
      <c r="I824" t="str">
        <f>IFERROR(INDEX('Pay Calendar'!$B$2:$B$10,MATCH(H824,'Pay Calendar'!$A$2:$A$10,0)),"")</f>
        <v/>
      </c>
    </row>
    <row r="825" spans="1:9" x14ac:dyDescent="0.2">
      <c r="A825" s="7"/>
      <c r="C825" t="str">
        <f>IFERROR(VLOOKUP(B825,'Commission Rates'!$A:$C,2,FALSE),"")</f>
        <v/>
      </c>
      <c r="E825" s="8">
        <f>IFERROR(VLOOKUP(B825,'Commission Rates'!$A:$C,3,FALSE),0)</f>
        <v>0</v>
      </c>
      <c r="F825" s="8" t="str">
        <f>IF(B825="","",D825*E825)</f>
        <v/>
      </c>
      <c r="H825" t="str">
        <f>IF(A825="","",WEEKNUM(A825,1))</f>
        <v/>
      </c>
      <c r="I825" t="str">
        <f>IFERROR(INDEX('Pay Calendar'!$B$2:$B$10,MATCH(H825,'Pay Calendar'!$A$2:$A$10,0)),"")</f>
        <v/>
      </c>
    </row>
    <row r="826" spans="1:9" x14ac:dyDescent="0.2">
      <c r="A826" s="7"/>
      <c r="C826" t="str">
        <f>IFERROR(VLOOKUP(B826,'Commission Rates'!$A:$C,2,FALSE),"")</f>
        <v/>
      </c>
      <c r="E826" s="8">
        <f>IFERROR(VLOOKUP(B826,'Commission Rates'!$A:$C,3,FALSE),0)</f>
        <v>0</v>
      </c>
      <c r="F826" s="8" t="str">
        <f>IF(B826="","",D826*E826)</f>
        <v/>
      </c>
      <c r="H826" t="str">
        <f>IF(A826="","",WEEKNUM(A826,1))</f>
        <v/>
      </c>
      <c r="I826" t="str">
        <f>IFERROR(INDEX('Pay Calendar'!$B$2:$B$10,MATCH(H826,'Pay Calendar'!$A$2:$A$10,0)),"")</f>
        <v/>
      </c>
    </row>
    <row r="827" spans="1:9" x14ac:dyDescent="0.2">
      <c r="A827" s="7"/>
      <c r="C827" t="str">
        <f>IFERROR(VLOOKUP(B827,'Commission Rates'!$A:$C,2,FALSE),"")</f>
        <v/>
      </c>
      <c r="E827" s="8">
        <f>IFERROR(VLOOKUP(B827,'Commission Rates'!$A:$C,3,FALSE),0)</f>
        <v>0</v>
      </c>
      <c r="F827" s="8" t="str">
        <f>IF(B827="","",D827*E827)</f>
        <v/>
      </c>
      <c r="H827" t="str">
        <f>IF(A827="","",WEEKNUM(A827,1))</f>
        <v/>
      </c>
      <c r="I827" t="str">
        <f>IFERROR(INDEX('Pay Calendar'!$B$2:$B$10,MATCH(H827,'Pay Calendar'!$A$2:$A$10,0)),"")</f>
        <v/>
      </c>
    </row>
    <row r="828" spans="1:9" x14ac:dyDescent="0.2">
      <c r="A828" s="7"/>
      <c r="C828" t="str">
        <f>IFERROR(VLOOKUP(B828,'Commission Rates'!$A:$C,2,FALSE),"")</f>
        <v/>
      </c>
      <c r="E828" s="8">
        <f>IFERROR(VLOOKUP(B828,'Commission Rates'!$A:$C,3,FALSE),0)</f>
        <v>0</v>
      </c>
      <c r="F828" s="8" t="str">
        <f>IF(B828="","",D828*E828)</f>
        <v/>
      </c>
      <c r="H828" t="str">
        <f>IF(A828="","",WEEKNUM(A828,1))</f>
        <v/>
      </c>
      <c r="I828" t="str">
        <f>IFERROR(INDEX('Pay Calendar'!$B$2:$B$10,MATCH(H828,'Pay Calendar'!$A$2:$A$10,0)),"")</f>
        <v/>
      </c>
    </row>
    <row r="829" spans="1:9" x14ac:dyDescent="0.2">
      <c r="A829" s="7"/>
      <c r="C829" t="str">
        <f>IFERROR(VLOOKUP(B829,'Commission Rates'!$A:$C,2,FALSE),"")</f>
        <v/>
      </c>
      <c r="E829" s="8">
        <f>IFERROR(VLOOKUP(B829,'Commission Rates'!$A:$C,3,FALSE),0)</f>
        <v>0</v>
      </c>
      <c r="F829" s="8" t="str">
        <f>IF(B829="","",D829*E829)</f>
        <v/>
      </c>
      <c r="H829" t="str">
        <f>IF(A829="","",WEEKNUM(A829,1))</f>
        <v/>
      </c>
      <c r="I829" t="str">
        <f>IFERROR(INDEX('Pay Calendar'!$B$2:$B$10,MATCH(H829,'Pay Calendar'!$A$2:$A$10,0)),"")</f>
        <v/>
      </c>
    </row>
    <row r="830" spans="1:9" x14ac:dyDescent="0.2">
      <c r="A830" s="7"/>
      <c r="C830" t="str">
        <f>IFERROR(VLOOKUP(B830,'Commission Rates'!$A:$C,2,FALSE),"")</f>
        <v/>
      </c>
      <c r="E830" s="8">
        <f>IFERROR(VLOOKUP(B830,'Commission Rates'!$A:$C,3,FALSE),0)</f>
        <v>0</v>
      </c>
      <c r="F830" s="8" t="str">
        <f>IF(B830="","",D830*E830)</f>
        <v/>
      </c>
      <c r="H830" t="str">
        <f>IF(A830="","",WEEKNUM(A830,1))</f>
        <v/>
      </c>
      <c r="I830" t="str">
        <f>IFERROR(INDEX('Pay Calendar'!$B$2:$B$10,MATCH(H830,'Pay Calendar'!$A$2:$A$10,0)),"")</f>
        <v/>
      </c>
    </row>
    <row r="831" spans="1:9" x14ac:dyDescent="0.2">
      <c r="A831" s="7"/>
      <c r="C831" t="str">
        <f>IFERROR(VLOOKUP(B831,'Commission Rates'!$A:$C,2,FALSE),"")</f>
        <v/>
      </c>
      <c r="E831" s="8">
        <f>IFERROR(VLOOKUP(B831,'Commission Rates'!$A:$C,3,FALSE),0)</f>
        <v>0</v>
      </c>
      <c r="F831" s="8" t="str">
        <f>IF(B831="","",D831*E831)</f>
        <v/>
      </c>
      <c r="H831" t="str">
        <f>IF(A831="","",WEEKNUM(A831,1))</f>
        <v/>
      </c>
      <c r="I831" t="str">
        <f>IFERROR(INDEX('Pay Calendar'!$B$2:$B$10,MATCH(H831,'Pay Calendar'!$A$2:$A$10,0)),"")</f>
        <v/>
      </c>
    </row>
    <row r="832" spans="1:9" x14ac:dyDescent="0.2">
      <c r="A832" s="7"/>
      <c r="C832" t="str">
        <f>IFERROR(VLOOKUP(B832,'Commission Rates'!$A:$C,2,FALSE),"")</f>
        <v/>
      </c>
      <c r="E832" s="8">
        <f>IFERROR(VLOOKUP(B832,'Commission Rates'!$A:$C,3,FALSE),0)</f>
        <v>0</v>
      </c>
      <c r="F832" s="8" t="str">
        <f>IF(B832="","",D832*E832)</f>
        <v/>
      </c>
      <c r="H832" t="str">
        <f>IF(A832="","",WEEKNUM(A832,1))</f>
        <v/>
      </c>
      <c r="I832" t="str">
        <f>IFERROR(INDEX('Pay Calendar'!$B$2:$B$10,MATCH(H832,'Pay Calendar'!$A$2:$A$10,0)),"")</f>
        <v/>
      </c>
    </row>
    <row r="833" spans="1:9" x14ac:dyDescent="0.2">
      <c r="A833" s="7"/>
      <c r="C833" t="str">
        <f>IFERROR(VLOOKUP(B833,'Commission Rates'!$A:$C,2,FALSE),"")</f>
        <v/>
      </c>
      <c r="E833" s="8">
        <f>IFERROR(VLOOKUP(B833,'Commission Rates'!$A:$C,3,FALSE),0)</f>
        <v>0</v>
      </c>
      <c r="F833" s="8" t="str">
        <f>IF(B833="","",D833*E833)</f>
        <v/>
      </c>
      <c r="H833" t="str">
        <f>IF(A833="","",WEEKNUM(A833,1))</f>
        <v/>
      </c>
      <c r="I833" t="str">
        <f>IFERROR(INDEX('Pay Calendar'!$B$2:$B$10,MATCH(H833,'Pay Calendar'!$A$2:$A$10,0)),"")</f>
        <v/>
      </c>
    </row>
    <row r="834" spans="1:9" x14ac:dyDescent="0.2">
      <c r="A834" s="7"/>
      <c r="C834" t="str">
        <f>IFERROR(VLOOKUP(B834,'Commission Rates'!$A:$C,2,FALSE),"")</f>
        <v/>
      </c>
      <c r="E834" s="8">
        <f>IFERROR(VLOOKUP(B834,'Commission Rates'!$A:$C,3,FALSE),0)</f>
        <v>0</v>
      </c>
      <c r="F834" s="8" t="str">
        <f>IF(B834="","",D834*E834)</f>
        <v/>
      </c>
      <c r="H834" t="str">
        <f>IF(A834="","",WEEKNUM(A834,1))</f>
        <v/>
      </c>
      <c r="I834" t="str">
        <f>IFERROR(INDEX('Pay Calendar'!$B$2:$B$10,MATCH(H834,'Pay Calendar'!$A$2:$A$10,0)),"")</f>
        <v/>
      </c>
    </row>
    <row r="835" spans="1:9" x14ac:dyDescent="0.2">
      <c r="A835" s="7"/>
      <c r="C835" t="str">
        <f>IFERROR(VLOOKUP(B835,'Commission Rates'!$A:$C,2,FALSE),"")</f>
        <v/>
      </c>
      <c r="E835" s="8">
        <f>IFERROR(VLOOKUP(B835,'Commission Rates'!$A:$C,3,FALSE),0)</f>
        <v>0</v>
      </c>
      <c r="F835" s="8" t="str">
        <f>IF(B835="","",D835*E835)</f>
        <v/>
      </c>
      <c r="H835" t="str">
        <f>IF(A835="","",WEEKNUM(A835,1))</f>
        <v/>
      </c>
      <c r="I835" t="str">
        <f>IFERROR(INDEX('Pay Calendar'!$B$2:$B$10,MATCH(H835,'Pay Calendar'!$A$2:$A$10,0)),"")</f>
        <v/>
      </c>
    </row>
    <row r="836" spans="1:9" x14ac:dyDescent="0.2">
      <c r="A836" s="7"/>
      <c r="C836" t="str">
        <f>IFERROR(VLOOKUP(B836,'Commission Rates'!$A:$C,2,FALSE),"")</f>
        <v/>
      </c>
      <c r="E836" s="8">
        <f>IFERROR(VLOOKUP(B836,'Commission Rates'!$A:$C,3,FALSE),0)</f>
        <v>0</v>
      </c>
      <c r="F836" s="8" t="str">
        <f>IF(B836="","",D836*E836)</f>
        <v/>
      </c>
      <c r="H836" t="str">
        <f>IF(A836="","",WEEKNUM(A836,1))</f>
        <v/>
      </c>
      <c r="I836" t="str">
        <f>IFERROR(INDEX('Pay Calendar'!$B$2:$B$10,MATCH(H836,'Pay Calendar'!$A$2:$A$10,0)),"")</f>
        <v/>
      </c>
    </row>
    <row r="837" spans="1:9" x14ac:dyDescent="0.2">
      <c r="A837" s="7"/>
      <c r="C837" t="str">
        <f>IFERROR(VLOOKUP(B837,'Commission Rates'!$A:$C,2,FALSE),"")</f>
        <v/>
      </c>
      <c r="E837" s="8">
        <f>IFERROR(VLOOKUP(B837,'Commission Rates'!$A:$C,3,FALSE),0)</f>
        <v>0</v>
      </c>
      <c r="F837" s="8" t="str">
        <f>IF(B837="","",D837*E837)</f>
        <v/>
      </c>
      <c r="H837" t="str">
        <f>IF(A837="","",WEEKNUM(A837,1))</f>
        <v/>
      </c>
      <c r="I837" t="str">
        <f>IFERROR(INDEX('Pay Calendar'!$B$2:$B$10,MATCH(H837,'Pay Calendar'!$A$2:$A$10,0)),"")</f>
        <v/>
      </c>
    </row>
    <row r="838" spans="1:9" x14ac:dyDescent="0.2">
      <c r="A838" s="7"/>
      <c r="C838" t="str">
        <f>IFERROR(VLOOKUP(B838,'Commission Rates'!$A:$C,2,FALSE),"")</f>
        <v/>
      </c>
      <c r="E838" s="8">
        <f>IFERROR(VLOOKUP(B838,'Commission Rates'!$A:$C,3,FALSE),0)</f>
        <v>0</v>
      </c>
      <c r="F838" s="8" t="str">
        <f>IF(B838="","",D838*E838)</f>
        <v/>
      </c>
      <c r="H838" t="str">
        <f>IF(A838="","",WEEKNUM(A838,1))</f>
        <v/>
      </c>
      <c r="I838" t="str">
        <f>IFERROR(INDEX('Pay Calendar'!$B$2:$B$10,MATCH(H838,'Pay Calendar'!$A$2:$A$10,0)),"")</f>
        <v/>
      </c>
    </row>
    <row r="839" spans="1:9" x14ac:dyDescent="0.2">
      <c r="A839" s="7"/>
      <c r="C839" t="str">
        <f>IFERROR(VLOOKUP(B839,'Commission Rates'!$A:$C,2,FALSE),"")</f>
        <v/>
      </c>
      <c r="E839" s="8">
        <f>IFERROR(VLOOKUP(B839,'Commission Rates'!$A:$C,3,FALSE),0)</f>
        <v>0</v>
      </c>
      <c r="F839" s="8" t="str">
        <f>IF(B839="","",D839*E839)</f>
        <v/>
      </c>
      <c r="H839" t="str">
        <f>IF(A839="","",WEEKNUM(A839,1))</f>
        <v/>
      </c>
      <c r="I839" t="str">
        <f>IFERROR(INDEX('Pay Calendar'!$B$2:$B$10,MATCH(H839,'Pay Calendar'!$A$2:$A$10,0)),"")</f>
        <v/>
      </c>
    </row>
    <row r="840" spans="1:9" x14ac:dyDescent="0.2">
      <c r="A840" s="7"/>
      <c r="C840" t="str">
        <f>IFERROR(VLOOKUP(B840,'Commission Rates'!$A:$C,2,FALSE),"")</f>
        <v/>
      </c>
      <c r="E840" s="8">
        <f>IFERROR(VLOOKUP(B840,'Commission Rates'!$A:$C,3,FALSE),0)</f>
        <v>0</v>
      </c>
      <c r="F840" s="8" t="str">
        <f>IF(B840="","",D840*E840)</f>
        <v/>
      </c>
      <c r="H840" t="str">
        <f>IF(A840="","",WEEKNUM(A840,1))</f>
        <v/>
      </c>
      <c r="I840" t="str">
        <f>IFERROR(INDEX('Pay Calendar'!$B$2:$B$10,MATCH(H840,'Pay Calendar'!$A$2:$A$10,0)),"")</f>
        <v/>
      </c>
    </row>
    <row r="841" spans="1:9" x14ac:dyDescent="0.2">
      <c r="A841" s="7"/>
      <c r="C841" t="str">
        <f>IFERROR(VLOOKUP(B841,'Commission Rates'!$A:$C,2,FALSE),"")</f>
        <v/>
      </c>
      <c r="E841" s="8">
        <f>IFERROR(VLOOKUP(B841,'Commission Rates'!$A:$C,3,FALSE),0)</f>
        <v>0</v>
      </c>
      <c r="F841" s="8" t="str">
        <f>IF(B841="","",D841*E841)</f>
        <v/>
      </c>
      <c r="H841" t="str">
        <f>IF(A841="","",WEEKNUM(A841,1))</f>
        <v/>
      </c>
      <c r="I841" t="str">
        <f>IFERROR(INDEX('Pay Calendar'!$B$2:$B$10,MATCH(H841,'Pay Calendar'!$A$2:$A$10,0)),"")</f>
        <v/>
      </c>
    </row>
    <row r="842" spans="1:9" x14ac:dyDescent="0.2">
      <c r="A842" s="7"/>
      <c r="C842" t="str">
        <f>IFERROR(VLOOKUP(B842,'Commission Rates'!$A:$C,2,FALSE),"")</f>
        <v/>
      </c>
      <c r="E842" s="8">
        <f>IFERROR(VLOOKUP(B842,'Commission Rates'!$A:$C,3,FALSE),0)</f>
        <v>0</v>
      </c>
      <c r="F842" s="8" t="str">
        <f>IF(B842="","",D842*E842)</f>
        <v/>
      </c>
      <c r="H842" t="str">
        <f>IF(A842="","",WEEKNUM(A842,1))</f>
        <v/>
      </c>
      <c r="I842" t="str">
        <f>IFERROR(INDEX('Pay Calendar'!$B$2:$B$10,MATCH(H842,'Pay Calendar'!$A$2:$A$10,0)),"")</f>
        <v/>
      </c>
    </row>
    <row r="843" spans="1:9" x14ac:dyDescent="0.2">
      <c r="A843" s="7"/>
      <c r="C843" t="str">
        <f>IFERROR(VLOOKUP(B843,'Commission Rates'!$A:$C,2,FALSE),"")</f>
        <v/>
      </c>
      <c r="E843" s="8">
        <f>IFERROR(VLOOKUP(B843,'Commission Rates'!$A:$C,3,FALSE),0)</f>
        <v>0</v>
      </c>
      <c r="F843" s="8" t="str">
        <f>IF(B843="","",D843*E843)</f>
        <v/>
      </c>
      <c r="H843" t="str">
        <f>IF(A843="","",WEEKNUM(A843,1))</f>
        <v/>
      </c>
      <c r="I843" t="str">
        <f>IFERROR(INDEX('Pay Calendar'!$B$2:$B$10,MATCH(H843,'Pay Calendar'!$A$2:$A$10,0)),"")</f>
        <v/>
      </c>
    </row>
    <row r="844" spans="1:9" x14ac:dyDescent="0.2">
      <c r="A844" s="7"/>
      <c r="C844" t="str">
        <f>IFERROR(VLOOKUP(B844,'Commission Rates'!$A:$C,2,FALSE),"")</f>
        <v/>
      </c>
      <c r="E844" s="8">
        <f>IFERROR(VLOOKUP(B844,'Commission Rates'!$A:$C,3,FALSE),0)</f>
        <v>0</v>
      </c>
      <c r="F844" s="8" t="str">
        <f>IF(B844="","",D844*E844)</f>
        <v/>
      </c>
      <c r="H844" t="str">
        <f>IF(A844="","",WEEKNUM(A844,1))</f>
        <v/>
      </c>
      <c r="I844" t="str">
        <f>IFERROR(INDEX('Pay Calendar'!$B$2:$B$10,MATCH(H844,'Pay Calendar'!$A$2:$A$10,0)),"")</f>
        <v/>
      </c>
    </row>
    <row r="845" spans="1:9" x14ac:dyDescent="0.2">
      <c r="A845" s="7"/>
      <c r="C845" t="str">
        <f>IFERROR(VLOOKUP(B845,'Commission Rates'!$A:$C,2,FALSE),"")</f>
        <v/>
      </c>
      <c r="E845" s="8">
        <f>IFERROR(VLOOKUP(B845,'Commission Rates'!$A:$C,3,FALSE),0)</f>
        <v>0</v>
      </c>
      <c r="F845" s="8" t="str">
        <f>IF(B845="","",D845*E845)</f>
        <v/>
      </c>
      <c r="H845" t="str">
        <f>IF(A845="","",WEEKNUM(A845,1))</f>
        <v/>
      </c>
      <c r="I845" t="str">
        <f>IFERROR(INDEX('Pay Calendar'!$B$2:$B$10,MATCH(H845,'Pay Calendar'!$A$2:$A$10,0)),"")</f>
        <v/>
      </c>
    </row>
    <row r="846" spans="1:9" x14ac:dyDescent="0.2">
      <c r="A846" s="7"/>
      <c r="C846" t="str">
        <f>IFERROR(VLOOKUP(B846,'Commission Rates'!$A:$C,2,FALSE),"")</f>
        <v/>
      </c>
      <c r="E846" s="8">
        <f>IFERROR(VLOOKUP(B846,'Commission Rates'!$A:$C,3,FALSE),0)</f>
        <v>0</v>
      </c>
      <c r="F846" s="8" t="str">
        <f>IF(B846="","",D846*E846)</f>
        <v/>
      </c>
      <c r="H846" t="str">
        <f>IF(A846="","",WEEKNUM(A846,1))</f>
        <v/>
      </c>
      <c r="I846" t="str">
        <f>IFERROR(INDEX('Pay Calendar'!$B$2:$B$10,MATCH(H846,'Pay Calendar'!$A$2:$A$10,0)),"")</f>
        <v/>
      </c>
    </row>
    <row r="847" spans="1:9" x14ac:dyDescent="0.2">
      <c r="A847" s="7"/>
      <c r="C847" t="str">
        <f>IFERROR(VLOOKUP(B847,'Commission Rates'!$A:$C,2,FALSE),"")</f>
        <v/>
      </c>
      <c r="E847" s="8">
        <f>IFERROR(VLOOKUP(B847,'Commission Rates'!$A:$C,3,FALSE),0)</f>
        <v>0</v>
      </c>
      <c r="F847" s="8" t="str">
        <f>IF(B847="","",D847*E847)</f>
        <v/>
      </c>
      <c r="H847" t="str">
        <f>IF(A847="","",WEEKNUM(A847,1))</f>
        <v/>
      </c>
      <c r="I847" t="str">
        <f>IFERROR(INDEX('Pay Calendar'!$B$2:$B$10,MATCH(H847,'Pay Calendar'!$A$2:$A$10,0)),"")</f>
        <v/>
      </c>
    </row>
    <row r="848" spans="1:9" x14ac:dyDescent="0.2">
      <c r="A848" s="7"/>
      <c r="C848" t="str">
        <f>IFERROR(VLOOKUP(B848,'Commission Rates'!$A:$C,2,FALSE),"")</f>
        <v/>
      </c>
      <c r="E848" s="8">
        <f>IFERROR(VLOOKUP(B848,'Commission Rates'!$A:$C,3,FALSE),0)</f>
        <v>0</v>
      </c>
      <c r="F848" s="8" t="str">
        <f>IF(B848="","",D848*E848)</f>
        <v/>
      </c>
      <c r="H848" t="str">
        <f>IF(A848="","",WEEKNUM(A848,1))</f>
        <v/>
      </c>
      <c r="I848" t="str">
        <f>IFERROR(INDEX('Pay Calendar'!$B$2:$B$10,MATCH(H848,'Pay Calendar'!$A$2:$A$10,0)),"")</f>
        <v/>
      </c>
    </row>
    <row r="849" spans="1:9" x14ac:dyDescent="0.2">
      <c r="A849" s="7"/>
      <c r="C849" t="str">
        <f>IFERROR(VLOOKUP(B849,'Commission Rates'!$A:$C,2,FALSE),"")</f>
        <v/>
      </c>
      <c r="E849" s="8">
        <f>IFERROR(VLOOKUP(B849,'Commission Rates'!$A:$C,3,FALSE),0)</f>
        <v>0</v>
      </c>
      <c r="F849" s="8" t="str">
        <f>IF(B849="","",D849*E849)</f>
        <v/>
      </c>
      <c r="H849" t="str">
        <f>IF(A849="","",WEEKNUM(A849,1))</f>
        <v/>
      </c>
      <c r="I849" t="str">
        <f>IFERROR(INDEX('Pay Calendar'!$B$2:$B$10,MATCH(H849,'Pay Calendar'!$A$2:$A$10,0)),"")</f>
        <v/>
      </c>
    </row>
    <row r="850" spans="1:9" x14ac:dyDescent="0.2">
      <c r="A850" s="7"/>
      <c r="C850" t="str">
        <f>IFERROR(VLOOKUP(B850,'Commission Rates'!$A:$C,2,FALSE),"")</f>
        <v/>
      </c>
      <c r="E850" s="8">
        <f>IFERROR(VLOOKUP(B850,'Commission Rates'!$A:$C,3,FALSE),0)</f>
        <v>0</v>
      </c>
      <c r="F850" s="8" t="str">
        <f>IF(B850="","",D850*E850)</f>
        <v/>
      </c>
      <c r="H850" t="str">
        <f>IF(A850="","",WEEKNUM(A850,1))</f>
        <v/>
      </c>
      <c r="I850" t="str">
        <f>IFERROR(INDEX('Pay Calendar'!$B$2:$B$10,MATCH(H850,'Pay Calendar'!$A$2:$A$10,0)),"")</f>
        <v/>
      </c>
    </row>
    <row r="851" spans="1:9" x14ac:dyDescent="0.2">
      <c r="A851" s="7"/>
      <c r="C851" t="str">
        <f>IFERROR(VLOOKUP(B851,'Commission Rates'!$A:$C,2,FALSE),"")</f>
        <v/>
      </c>
      <c r="E851" s="8">
        <f>IFERROR(VLOOKUP(B851,'Commission Rates'!$A:$C,3,FALSE),0)</f>
        <v>0</v>
      </c>
      <c r="F851" s="8" t="str">
        <f>IF(B851="","",D851*E851)</f>
        <v/>
      </c>
      <c r="H851" t="str">
        <f>IF(A851="","",WEEKNUM(A851,1))</f>
        <v/>
      </c>
      <c r="I851" t="str">
        <f>IFERROR(INDEX('Pay Calendar'!$B$2:$B$10,MATCH(H851,'Pay Calendar'!$A$2:$A$10,0)),"")</f>
        <v/>
      </c>
    </row>
    <row r="852" spans="1:9" x14ac:dyDescent="0.2">
      <c r="A852" s="7"/>
      <c r="C852" t="str">
        <f>IFERROR(VLOOKUP(B852,'Commission Rates'!$A:$C,2,FALSE),"")</f>
        <v/>
      </c>
      <c r="E852" s="8">
        <f>IFERROR(VLOOKUP(B852,'Commission Rates'!$A:$C,3,FALSE),0)</f>
        <v>0</v>
      </c>
      <c r="F852" s="8" t="str">
        <f>IF(B852="","",D852*E852)</f>
        <v/>
      </c>
      <c r="H852" t="str">
        <f>IF(A852="","",WEEKNUM(A852,1))</f>
        <v/>
      </c>
      <c r="I852" t="str">
        <f>IFERROR(INDEX('Pay Calendar'!$B$2:$B$10,MATCH(H852,'Pay Calendar'!$A$2:$A$10,0)),"")</f>
        <v/>
      </c>
    </row>
    <row r="853" spans="1:9" x14ac:dyDescent="0.2">
      <c r="A853" s="7"/>
      <c r="C853" t="str">
        <f>IFERROR(VLOOKUP(B853,'Commission Rates'!$A:$C,2,FALSE),"")</f>
        <v/>
      </c>
      <c r="E853" s="8">
        <f>IFERROR(VLOOKUP(B853,'Commission Rates'!$A:$C,3,FALSE),0)</f>
        <v>0</v>
      </c>
      <c r="F853" s="8" t="str">
        <f>IF(B853="","",D853*E853)</f>
        <v/>
      </c>
      <c r="H853" t="str">
        <f>IF(A853="","",WEEKNUM(A853,1))</f>
        <v/>
      </c>
      <c r="I853" t="str">
        <f>IFERROR(INDEX('Pay Calendar'!$B$2:$B$10,MATCH(H853,'Pay Calendar'!$A$2:$A$10,0)),"")</f>
        <v/>
      </c>
    </row>
    <row r="854" spans="1:9" x14ac:dyDescent="0.2">
      <c r="A854" s="7"/>
      <c r="C854" t="str">
        <f>IFERROR(VLOOKUP(B854,'Commission Rates'!$A:$C,2,FALSE),"")</f>
        <v/>
      </c>
      <c r="E854" s="8">
        <f>IFERROR(VLOOKUP(B854,'Commission Rates'!$A:$C,3,FALSE),0)</f>
        <v>0</v>
      </c>
      <c r="F854" s="8" t="str">
        <f>IF(B854="","",D854*E854)</f>
        <v/>
      </c>
      <c r="H854" t="str">
        <f>IF(A854="","",WEEKNUM(A854,1))</f>
        <v/>
      </c>
      <c r="I854" t="str">
        <f>IFERROR(INDEX('Pay Calendar'!$B$2:$B$10,MATCH(H854,'Pay Calendar'!$A$2:$A$10,0)),"")</f>
        <v/>
      </c>
    </row>
    <row r="855" spans="1:9" x14ac:dyDescent="0.2">
      <c r="A855" s="7"/>
      <c r="C855" t="str">
        <f>IFERROR(VLOOKUP(B855,'Commission Rates'!$A:$C,2,FALSE),"")</f>
        <v/>
      </c>
      <c r="E855" s="8">
        <f>IFERROR(VLOOKUP(B855,'Commission Rates'!$A:$C,3,FALSE),0)</f>
        <v>0</v>
      </c>
      <c r="F855" s="8" t="str">
        <f>IF(B855="","",D855*E855)</f>
        <v/>
      </c>
      <c r="H855" t="str">
        <f>IF(A855="","",WEEKNUM(A855,1))</f>
        <v/>
      </c>
      <c r="I855" t="str">
        <f>IFERROR(INDEX('Pay Calendar'!$B$2:$B$10,MATCH(H855,'Pay Calendar'!$A$2:$A$10,0)),"")</f>
        <v/>
      </c>
    </row>
    <row r="856" spans="1:9" x14ac:dyDescent="0.2">
      <c r="A856" s="7"/>
      <c r="C856" t="str">
        <f>IFERROR(VLOOKUP(B856,'Commission Rates'!$A:$C,2,FALSE),"")</f>
        <v/>
      </c>
      <c r="E856" s="8">
        <f>IFERROR(VLOOKUP(B856,'Commission Rates'!$A:$C,3,FALSE),0)</f>
        <v>0</v>
      </c>
      <c r="F856" s="8" t="str">
        <f>IF(B856="","",D856*E856)</f>
        <v/>
      </c>
      <c r="H856" t="str">
        <f>IF(A856="","",WEEKNUM(A856,1))</f>
        <v/>
      </c>
      <c r="I856" t="str">
        <f>IFERROR(INDEX('Pay Calendar'!$B$2:$B$10,MATCH(H856,'Pay Calendar'!$A$2:$A$10,0)),"")</f>
        <v/>
      </c>
    </row>
    <row r="857" spans="1:9" x14ac:dyDescent="0.2">
      <c r="A857" s="7"/>
      <c r="C857" t="str">
        <f>IFERROR(VLOOKUP(B857,'Commission Rates'!$A:$C,2,FALSE),"")</f>
        <v/>
      </c>
      <c r="E857" s="8">
        <f>IFERROR(VLOOKUP(B857,'Commission Rates'!$A:$C,3,FALSE),0)</f>
        <v>0</v>
      </c>
      <c r="F857" s="8" t="str">
        <f>IF(B857="","",D857*E857)</f>
        <v/>
      </c>
      <c r="H857" t="str">
        <f>IF(A857="","",WEEKNUM(A857,1))</f>
        <v/>
      </c>
      <c r="I857" t="str">
        <f>IFERROR(INDEX('Pay Calendar'!$B$2:$B$10,MATCH(H857,'Pay Calendar'!$A$2:$A$10,0)),"")</f>
        <v/>
      </c>
    </row>
    <row r="858" spans="1:9" x14ac:dyDescent="0.2">
      <c r="A858" s="7"/>
      <c r="C858" t="str">
        <f>IFERROR(VLOOKUP(B858,'Commission Rates'!$A:$C,2,FALSE),"")</f>
        <v/>
      </c>
      <c r="E858" s="8">
        <f>IFERROR(VLOOKUP(B858,'Commission Rates'!$A:$C,3,FALSE),0)</f>
        <v>0</v>
      </c>
      <c r="F858" s="8" t="str">
        <f>IF(B858="","",D858*E858)</f>
        <v/>
      </c>
      <c r="H858" t="str">
        <f>IF(A858="","",WEEKNUM(A858,1))</f>
        <v/>
      </c>
      <c r="I858" t="str">
        <f>IFERROR(INDEX('Pay Calendar'!$B$2:$B$10,MATCH(H858,'Pay Calendar'!$A$2:$A$10,0)),"")</f>
        <v/>
      </c>
    </row>
    <row r="859" spans="1:9" x14ac:dyDescent="0.2">
      <c r="A859" s="7"/>
      <c r="C859" t="str">
        <f>IFERROR(VLOOKUP(B859,'Commission Rates'!$A:$C,2,FALSE),"")</f>
        <v/>
      </c>
      <c r="E859" s="8">
        <f>IFERROR(VLOOKUP(B859,'Commission Rates'!$A:$C,3,FALSE),0)</f>
        <v>0</v>
      </c>
      <c r="F859" s="8" t="str">
        <f>IF(B859="","",D859*E859)</f>
        <v/>
      </c>
      <c r="H859" t="str">
        <f>IF(A859="","",WEEKNUM(A859,1))</f>
        <v/>
      </c>
      <c r="I859" t="str">
        <f>IFERROR(INDEX('Pay Calendar'!$B$2:$B$10,MATCH(H859,'Pay Calendar'!$A$2:$A$10,0)),"")</f>
        <v/>
      </c>
    </row>
    <row r="860" spans="1:9" x14ac:dyDescent="0.2">
      <c r="A860" s="7"/>
      <c r="C860" t="str">
        <f>IFERROR(VLOOKUP(B860,'Commission Rates'!$A:$C,2,FALSE),"")</f>
        <v/>
      </c>
      <c r="E860" s="8">
        <f>IFERROR(VLOOKUP(B860,'Commission Rates'!$A:$C,3,FALSE),0)</f>
        <v>0</v>
      </c>
      <c r="F860" s="8" t="str">
        <f>IF(B860="","",D860*E860)</f>
        <v/>
      </c>
      <c r="H860" t="str">
        <f>IF(A860="","",WEEKNUM(A860,1))</f>
        <v/>
      </c>
      <c r="I860" t="str">
        <f>IFERROR(INDEX('Pay Calendar'!$B$2:$B$10,MATCH(H860,'Pay Calendar'!$A$2:$A$10,0)),"")</f>
        <v/>
      </c>
    </row>
    <row r="861" spans="1:9" x14ac:dyDescent="0.2">
      <c r="A861" s="7"/>
      <c r="C861" t="str">
        <f>IFERROR(VLOOKUP(B861,'Commission Rates'!$A:$C,2,FALSE),"")</f>
        <v/>
      </c>
      <c r="E861" s="8">
        <f>IFERROR(VLOOKUP(B861,'Commission Rates'!$A:$C,3,FALSE),0)</f>
        <v>0</v>
      </c>
      <c r="F861" s="8" t="str">
        <f>IF(B861="","",D861*E861)</f>
        <v/>
      </c>
      <c r="H861" t="str">
        <f>IF(A861="","",WEEKNUM(A861,1))</f>
        <v/>
      </c>
      <c r="I861" t="str">
        <f>IFERROR(INDEX('Pay Calendar'!$B$2:$B$10,MATCH(H861,'Pay Calendar'!$A$2:$A$10,0)),"")</f>
        <v/>
      </c>
    </row>
    <row r="862" spans="1:9" x14ac:dyDescent="0.2">
      <c r="A862" s="7"/>
      <c r="C862" t="str">
        <f>IFERROR(VLOOKUP(B862,'Commission Rates'!$A:$C,2,FALSE),"")</f>
        <v/>
      </c>
      <c r="E862" s="8">
        <f>IFERROR(VLOOKUP(B862,'Commission Rates'!$A:$C,3,FALSE),0)</f>
        <v>0</v>
      </c>
      <c r="F862" s="8" t="str">
        <f>IF(B862="","",D862*E862)</f>
        <v/>
      </c>
      <c r="H862" t="str">
        <f>IF(A862="","",WEEKNUM(A862,1))</f>
        <v/>
      </c>
      <c r="I862" t="str">
        <f>IFERROR(INDEX('Pay Calendar'!$B$2:$B$10,MATCH(H862,'Pay Calendar'!$A$2:$A$10,0)),"")</f>
        <v/>
      </c>
    </row>
    <row r="863" spans="1:9" x14ac:dyDescent="0.2">
      <c r="A863" s="7"/>
      <c r="C863" t="str">
        <f>IFERROR(VLOOKUP(B863,'Commission Rates'!$A:$C,2,FALSE),"")</f>
        <v/>
      </c>
      <c r="E863" s="8">
        <f>IFERROR(VLOOKUP(B863,'Commission Rates'!$A:$C,3,FALSE),0)</f>
        <v>0</v>
      </c>
      <c r="F863" s="8" t="str">
        <f>IF(B863="","",D863*E863)</f>
        <v/>
      </c>
      <c r="H863" t="str">
        <f>IF(A863="","",WEEKNUM(A863,1))</f>
        <v/>
      </c>
      <c r="I863" t="str">
        <f>IFERROR(INDEX('Pay Calendar'!$B$2:$B$10,MATCH(H863,'Pay Calendar'!$A$2:$A$10,0)),"")</f>
        <v/>
      </c>
    </row>
    <row r="864" spans="1:9" x14ac:dyDescent="0.2">
      <c r="A864" s="7"/>
      <c r="C864" t="str">
        <f>IFERROR(VLOOKUP(B864,'Commission Rates'!$A:$C,2,FALSE),"")</f>
        <v/>
      </c>
      <c r="E864" s="8">
        <f>IFERROR(VLOOKUP(B864,'Commission Rates'!$A:$C,3,FALSE),0)</f>
        <v>0</v>
      </c>
      <c r="F864" s="8" t="str">
        <f>IF(B864="","",D864*E864)</f>
        <v/>
      </c>
      <c r="H864" t="str">
        <f>IF(A864="","",WEEKNUM(A864,1))</f>
        <v/>
      </c>
      <c r="I864" t="str">
        <f>IFERROR(INDEX('Pay Calendar'!$B$2:$B$10,MATCH(H864,'Pay Calendar'!$A$2:$A$10,0)),"")</f>
        <v/>
      </c>
    </row>
    <row r="865" spans="1:9" x14ac:dyDescent="0.2">
      <c r="A865" s="7"/>
      <c r="C865" t="str">
        <f>IFERROR(VLOOKUP(B865,'Commission Rates'!$A:$C,2,FALSE),"")</f>
        <v/>
      </c>
      <c r="E865" s="8">
        <f>IFERROR(VLOOKUP(B865,'Commission Rates'!$A:$C,3,FALSE),0)</f>
        <v>0</v>
      </c>
      <c r="F865" s="8" t="str">
        <f>IF(B865="","",D865*E865)</f>
        <v/>
      </c>
      <c r="H865" t="str">
        <f>IF(A865="","",WEEKNUM(A865,1))</f>
        <v/>
      </c>
      <c r="I865" t="str">
        <f>IFERROR(INDEX('Pay Calendar'!$B$2:$B$10,MATCH(H865,'Pay Calendar'!$A$2:$A$10,0)),"")</f>
        <v/>
      </c>
    </row>
    <row r="866" spans="1:9" x14ac:dyDescent="0.2">
      <c r="A866" s="7"/>
      <c r="C866" t="str">
        <f>IFERROR(VLOOKUP(B866,'Commission Rates'!$A:$C,2,FALSE),"")</f>
        <v/>
      </c>
      <c r="E866" s="8">
        <f>IFERROR(VLOOKUP(B866,'Commission Rates'!$A:$C,3,FALSE),0)</f>
        <v>0</v>
      </c>
      <c r="F866" s="8" t="str">
        <f>IF(B866="","",D866*E866)</f>
        <v/>
      </c>
      <c r="H866" t="str">
        <f>IF(A866="","",WEEKNUM(A866,1))</f>
        <v/>
      </c>
      <c r="I866" t="str">
        <f>IFERROR(INDEX('Pay Calendar'!$B$2:$B$10,MATCH(H866,'Pay Calendar'!$A$2:$A$10,0)),"")</f>
        <v/>
      </c>
    </row>
    <row r="867" spans="1:9" x14ac:dyDescent="0.2">
      <c r="A867" s="7"/>
      <c r="C867" t="str">
        <f>IFERROR(VLOOKUP(B867,'Commission Rates'!$A:$C,2,FALSE),"")</f>
        <v/>
      </c>
      <c r="E867" s="8">
        <f>IFERROR(VLOOKUP(B867,'Commission Rates'!$A:$C,3,FALSE),0)</f>
        <v>0</v>
      </c>
      <c r="F867" s="8" t="str">
        <f>IF(B867="","",D867*E867)</f>
        <v/>
      </c>
      <c r="H867" t="str">
        <f>IF(A867="","",WEEKNUM(A867,1))</f>
        <v/>
      </c>
      <c r="I867" t="str">
        <f>IFERROR(INDEX('Pay Calendar'!$B$2:$B$10,MATCH(H867,'Pay Calendar'!$A$2:$A$10,0)),"")</f>
        <v/>
      </c>
    </row>
    <row r="868" spans="1:9" x14ac:dyDescent="0.2">
      <c r="A868" s="7"/>
      <c r="C868" t="str">
        <f>IFERROR(VLOOKUP(B868,'Commission Rates'!$A:$C,2,FALSE),"")</f>
        <v/>
      </c>
      <c r="E868" s="8">
        <f>IFERROR(VLOOKUP(B868,'Commission Rates'!$A:$C,3,FALSE),0)</f>
        <v>0</v>
      </c>
      <c r="F868" s="8" t="str">
        <f>IF(B868="","",D868*E868)</f>
        <v/>
      </c>
      <c r="H868" t="str">
        <f>IF(A868="","",WEEKNUM(A868,1))</f>
        <v/>
      </c>
      <c r="I868" t="str">
        <f>IFERROR(INDEX('Pay Calendar'!$B$2:$B$10,MATCH(H868,'Pay Calendar'!$A$2:$A$10,0)),"")</f>
        <v/>
      </c>
    </row>
    <row r="869" spans="1:9" x14ac:dyDescent="0.2">
      <c r="A869" s="7"/>
      <c r="C869" t="str">
        <f>IFERROR(VLOOKUP(B869,'Commission Rates'!$A:$C,2,FALSE),"")</f>
        <v/>
      </c>
      <c r="E869" s="8">
        <f>IFERROR(VLOOKUP(B869,'Commission Rates'!$A:$C,3,FALSE),0)</f>
        <v>0</v>
      </c>
      <c r="F869" s="8" t="str">
        <f>IF(B869="","",D869*E869)</f>
        <v/>
      </c>
      <c r="H869" t="str">
        <f>IF(A869="","",WEEKNUM(A869,1))</f>
        <v/>
      </c>
      <c r="I869" t="str">
        <f>IFERROR(INDEX('Pay Calendar'!$B$2:$B$10,MATCH(H869,'Pay Calendar'!$A$2:$A$10,0)),"")</f>
        <v/>
      </c>
    </row>
    <row r="870" spans="1:9" x14ac:dyDescent="0.2">
      <c r="A870" s="7"/>
      <c r="C870" t="str">
        <f>IFERROR(VLOOKUP(B870,'Commission Rates'!$A:$C,2,FALSE),"")</f>
        <v/>
      </c>
      <c r="E870" s="8">
        <f>IFERROR(VLOOKUP(B870,'Commission Rates'!$A:$C,3,FALSE),0)</f>
        <v>0</v>
      </c>
      <c r="F870" s="8" t="str">
        <f>IF(B870="","",D870*E870)</f>
        <v/>
      </c>
      <c r="H870" t="str">
        <f>IF(A870="","",WEEKNUM(A870,1))</f>
        <v/>
      </c>
      <c r="I870" t="str">
        <f>IFERROR(INDEX('Pay Calendar'!$B$2:$B$10,MATCH(H870,'Pay Calendar'!$A$2:$A$10,0)),"")</f>
        <v/>
      </c>
    </row>
    <row r="871" spans="1:9" x14ac:dyDescent="0.2">
      <c r="A871" s="7"/>
      <c r="C871" t="str">
        <f>IFERROR(VLOOKUP(B871,'Commission Rates'!$A:$C,2,FALSE),"")</f>
        <v/>
      </c>
      <c r="E871" s="8">
        <f>IFERROR(VLOOKUP(B871,'Commission Rates'!$A:$C,3,FALSE),0)</f>
        <v>0</v>
      </c>
      <c r="F871" s="8" t="str">
        <f>IF(B871="","",D871*E871)</f>
        <v/>
      </c>
      <c r="H871" t="str">
        <f>IF(A871="","",WEEKNUM(A871,1))</f>
        <v/>
      </c>
      <c r="I871" t="str">
        <f>IFERROR(INDEX('Pay Calendar'!$B$2:$B$10,MATCH(H871,'Pay Calendar'!$A$2:$A$10,0)),"")</f>
        <v/>
      </c>
    </row>
    <row r="872" spans="1:9" x14ac:dyDescent="0.2">
      <c r="A872" s="7"/>
      <c r="C872" t="str">
        <f>IFERROR(VLOOKUP(B872,'Commission Rates'!$A:$C,2,FALSE),"")</f>
        <v/>
      </c>
      <c r="E872" s="8">
        <f>IFERROR(VLOOKUP(B872,'Commission Rates'!$A:$C,3,FALSE),0)</f>
        <v>0</v>
      </c>
      <c r="F872" s="8" t="str">
        <f>IF(B872="","",D872*E872)</f>
        <v/>
      </c>
      <c r="H872" t="str">
        <f>IF(A872="","",WEEKNUM(A872,1))</f>
        <v/>
      </c>
      <c r="I872" t="str">
        <f>IFERROR(INDEX('Pay Calendar'!$B$2:$B$10,MATCH(H872,'Pay Calendar'!$A$2:$A$10,0)),"")</f>
        <v/>
      </c>
    </row>
    <row r="873" spans="1:9" x14ac:dyDescent="0.2">
      <c r="A873" s="7"/>
      <c r="C873" t="str">
        <f>IFERROR(VLOOKUP(B873,'Commission Rates'!$A:$C,2,FALSE),"")</f>
        <v/>
      </c>
      <c r="E873" s="8">
        <f>IFERROR(VLOOKUP(B873,'Commission Rates'!$A:$C,3,FALSE),0)</f>
        <v>0</v>
      </c>
      <c r="F873" s="8" t="str">
        <f>IF(B873="","",D873*E873)</f>
        <v/>
      </c>
      <c r="H873" t="str">
        <f>IF(A873="","",WEEKNUM(A873,1))</f>
        <v/>
      </c>
      <c r="I873" t="str">
        <f>IFERROR(INDEX('Pay Calendar'!$B$2:$B$10,MATCH(H873,'Pay Calendar'!$A$2:$A$10,0)),"")</f>
        <v/>
      </c>
    </row>
    <row r="874" spans="1:9" x14ac:dyDescent="0.2">
      <c r="A874" s="7"/>
      <c r="C874" t="str">
        <f>IFERROR(VLOOKUP(B874,'Commission Rates'!$A:$C,2,FALSE),"")</f>
        <v/>
      </c>
      <c r="E874" s="8">
        <f>IFERROR(VLOOKUP(B874,'Commission Rates'!$A:$C,3,FALSE),0)</f>
        <v>0</v>
      </c>
      <c r="F874" s="8" t="str">
        <f>IF(B874="","",D874*E874)</f>
        <v/>
      </c>
      <c r="H874" t="str">
        <f>IF(A874="","",WEEKNUM(A874,1))</f>
        <v/>
      </c>
      <c r="I874" t="str">
        <f>IFERROR(INDEX('Pay Calendar'!$B$2:$B$10,MATCH(H874,'Pay Calendar'!$A$2:$A$10,0)),"")</f>
        <v/>
      </c>
    </row>
    <row r="875" spans="1:9" x14ac:dyDescent="0.2">
      <c r="A875" s="7"/>
      <c r="C875" t="str">
        <f>IFERROR(VLOOKUP(B875,'Commission Rates'!$A:$C,2,FALSE),"")</f>
        <v/>
      </c>
      <c r="E875" s="8">
        <f>IFERROR(VLOOKUP(B875,'Commission Rates'!$A:$C,3,FALSE),0)</f>
        <v>0</v>
      </c>
      <c r="F875" s="8" t="str">
        <f>IF(B875="","",D875*E875)</f>
        <v/>
      </c>
      <c r="H875" t="str">
        <f>IF(A875="","",WEEKNUM(A875,1))</f>
        <v/>
      </c>
      <c r="I875" t="str">
        <f>IFERROR(INDEX('Pay Calendar'!$B$2:$B$10,MATCH(H875,'Pay Calendar'!$A$2:$A$10,0)),"")</f>
        <v/>
      </c>
    </row>
    <row r="876" spans="1:9" x14ac:dyDescent="0.2">
      <c r="A876" s="7"/>
      <c r="C876" t="str">
        <f>IFERROR(VLOOKUP(B876,'Commission Rates'!$A:$C,2,FALSE),"")</f>
        <v/>
      </c>
      <c r="E876" s="8">
        <f>IFERROR(VLOOKUP(B876,'Commission Rates'!$A:$C,3,FALSE),0)</f>
        <v>0</v>
      </c>
      <c r="F876" s="8" t="str">
        <f>IF(B876="","",D876*E876)</f>
        <v/>
      </c>
      <c r="H876" t="str">
        <f>IF(A876="","",WEEKNUM(A876,1))</f>
        <v/>
      </c>
      <c r="I876" t="str">
        <f>IFERROR(INDEX('Pay Calendar'!$B$2:$B$10,MATCH(H876,'Pay Calendar'!$A$2:$A$10,0)),"")</f>
        <v/>
      </c>
    </row>
    <row r="877" spans="1:9" x14ac:dyDescent="0.2">
      <c r="A877" s="7"/>
      <c r="C877" t="str">
        <f>IFERROR(VLOOKUP(B877,'Commission Rates'!$A:$C,2,FALSE),"")</f>
        <v/>
      </c>
      <c r="E877" s="8">
        <f>IFERROR(VLOOKUP(B877,'Commission Rates'!$A:$C,3,FALSE),0)</f>
        <v>0</v>
      </c>
      <c r="F877" s="8" t="str">
        <f>IF(B877="","",D877*E877)</f>
        <v/>
      </c>
      <c r="H877" t="str">
        <f>IF(A877="","",WEEKNUM(A877,1))</f>
        <v/>
      </c>
      <c r="I877" t="str">
        <f>IFERROR(INDEX('Pay Calendar'!$B$2:$B$10,MATCH(H877,'Pay Calendar'!$A$2:$A$10,0)),"")</f>
        <v/>
      </c>
    </row>
    <row r="878" spans="1:9" x14ac:dyDescent="0.2">
      <c r="A878" s="7"/>
      <c r="C878" t="str">
        <f>IFERROR(VLOOKUP(B878,'Commission Rates'!$A:$C,2,FALSE),"")</f>
        <v/>
      </c>
      <c r="E878" s="8">
        <f>IFERROR(VLOOKUP(B878,'Commission Rates'!$A:$C,3,FALSE),0)</f>
        <v>0</v>
      </c>
      <c r="F878" s="8" t="str">
        <f>IF(B878="","",D878*E878)</f>
        <v/>
      </c>
      <c r="H878" t="str">
        <f>IF(A878="","",WEEKNUM(A878,1))</f>
        <v/>
      </c>
      <c r="I878" t="str">
        <f>IFERROR(INDEX('Pay Calendar'!$B$2:$B$10,MATCH(H878,'Pay Calendar'!$A$2:$A$10,0)),"")</f>
        <v/>
      </c>
    </row>
    <row r="879" spans="1:9" x14ac:dyDescent="0.2">
      <c r="A879" s="7"/>
      <c r="C879" t="str">
        <f>IFERROR(VLOOKUP(B879,'Commission Rates'!$A:$C,2,FALSE),"")</f>
        <v/>
      </c>
      <c r="E879" s="8">
        <f>IFERROR(VLOOKUP(B879,'Commission Rates'!$A:$C,3,FALSE),0)</f>
        <v>0</v>
      </c>
      <c r="F879" s="8" t="str">
        <f>IF(B879="","",D879*E879)</f>
        <v/>
      </c>
      <c r="H879" t="str">
        <f>IF(A879="","",WEEKNUM(A879,1))</f>
        <v/>
      </c>
      <c r="I879" t="str">
        <f>IFERROR(INDEX('Pay Calendar'!$B$2:$B$10,MATCH(H879,'Pay Calendar'!$A$2:$A$10,0)),"")</f>
        <v/>
      </c>
    </row>
    <row r="880" spans="1:9" x14ac:dyDescent="0.2">
      <c r="A880" s="7"/>
      <c r="C880" t="str">
        <f>IFERROR(VLOOKUP(B880,'Commission Rates'!$A:$C,2,FALSE),"")</f>
        <v/>
      </c>
      <c r="E880" s="8">
        <f>IFERROR(VLOOKUP(B880,'Commission Rates'!$A:$C,3,FALSE),0)</f>
        <v>0</v>
      </c>
      <c r="F880" s="8" t="str">
        <f>IF(B880="","",D880*E880)</f>
        <v/>
      </c>
      <c r="H880" t="str">
        <f>IF(A880="","",WEEKNUM(A880,1))</f>
        <v/>
      </c>
      <c r="I880" t="str">
        <f>IFERROR(INDEX('Pay Calendar'!$B$2:$B$10,MATCH(H880,'Pay Calendar'!$A$2:$A$10,0)),"")</f>
        <v/>
      </c>
    </row>
    <row r="881" spans="1:9" x14ac:dyDescent="0.2">
      <c r="A881" s="7"/>
      <c r="C881" t="str">
        <f>IFERROR(VLOOKUP(B881,'Commission Rates'!$A:$C,2,FALSE),"")</f>
        <v/>
      </c>
      <c r="E881" s="8">
        <f>IFERROR(VLOOKUP(B881,'Commission Rates'!$A:$C,3,FALSE),0)</f>
        <v>0</v>
      </c>
      <c r="F881" s="8" t="str">
        <f>IF(B881="","",D881*E881)</f>
        <v/>
      </c>
      <c r="H881" t="str">
        <f>IF(A881="","",WEEKNUM(A881,1))</f>
        <v/>
      </c>
      <c r="I881" t="str">
        <f>IFERROR(INDEX('Pay Calendar'!$B$2:$B$10,MATCH(H881,'Pay Calendar'!$A$2:$A$10,0)),"")</f>
        <v/>
      </c>
    </row>
    <row r="882" spans="1:9" x14ac:dyDescent="0.2">
      <c r="A882" s="7"/>
      <c r="C882" t="str">
        <f>IFERROR(VLOOKUP(B882,'Commission Rates'!$A:$C,2,FALSE),"")</f>
        <v/>
      </c>
      <c r="E882" s="8">
        <f>IFERROR(VLOOKUP(B882,'Commission Rates'!$A:$C,3,FALSE),0)</f>
        <v>0</v>
      </c>
      <c r="F882" s="8" t="str">
        <f>IF(B882="","",D882*E882)</f>
        <v/>
      </c>
      <c r="H882" t="str">
        <f>IF(A882="","",WEEKNUM(A882,1))</f>
        <v/>
      </c>
      <c r="I882" t="str">
        <f>IFERROR(INDEX('Pay Calendar'!$B$2:$B$10,MATCH(H882,'Pay Calendar'!$A$2:$A$10,0)),"")</f>
        <v/>
      </c>
    </row>
    <row r="883" spans="1:9" x14ac:dyDescent="0.2">
      <c r="A883" s="7"/>
      <c r="C883" t="str">
        <f>IFERROR(VLOOKUP(B883,'Commission Rates'!$A:$C,2,FALSE),"")</f>
        <v/>
      </c>
      <c r="E883" s="8">
        <f>IFERROR(VLOOKUP(B883,'Commission Rates'!$A:$C,3,FALSE),0)</f>
        <v>0</v>
      </c>
      <c r="F883" s="8" t="str">
        <f>IF(B883="","",D883*E883)</f>
        <v/>
      </c>
      <c r="H883" t="str">
        <f>IF(A883="","",WEEKNUM(A883,1))</f>
        <v/>
      </c>
      <c r="I883" t="str">
        <f>IFERROR(INDEX('Pay Calendar'!$B$2:$B$10,MATCH(H883,'Pay Calendar'!$A$2:$A$10,0)),"")</f>
        <v/>
      </c>
    </row>
    <row r="884" spans="1:9" x14ac:dyDescent="0.2">
      <c r="A884" s="7"/>
      <c r="C884" t="str">
        <f>IFERROR(VLOOKUP(B884,'Commission Rates'!$A:$C,2,FALSE),"")</f>
        <v/>
      </c>
      <c r="E884" s="8">
        <f>IFERROR(VLOOKUP(B884,'Commission Rates'!$A:$C,3,FALSE),0)</f>
        <v>0</v>
      </c>
      <c r="F884" s="8" t="str">
        <f>IF(B884="","",D884*E884)</f>
        <v/>
      </c>
      <c r="H884" t="str">
        <f>IF(A884="","",WEEKNUM(A884,1))</f>
        <v/>
      </c>
      <c r="I884" t="str">
        <f>IFERROR(INDEX('Pay Calendar'!$B$2:$B$10,MATCH(H884,'Pay Calendar'!$A$2:$A$10,0)),"")</f>
        <v/>
      </c>
    </row>
    <row r="885" spans="1:9" x14ac:dyDescent="0.2">
      <c r="A885" s="7"/>
      <c r="C885" t="str">
        <f>IFERROR(VLOOKUP(B885,'Commission Rates'!$A:$C,2,FALSE),"")</f>
        <v/>
      </c>
      <c r="E885" s="8">
        <f>IFERROR(VLOOKUP(B885,'Commission Rates'!$A:$C,3,FALSE),0)</f>
        <v>0</v>
      </c>
      <c r="F885" s="8" t="str">
        <f>IF(B885="","",D885*E885)</f>
        <v/>
      </c>
      <c r="H885" t="str">
        <f>IF(A885="","",WEEKNUM(A885,1))</f>
        <v/>
      </c>
      <c r="I885" t="str">
        <f>IFERROR(INDEX('Pay Calendar'!$B$2:$B$10,MATCH(H885,'Pay Calendar'!$A$2:$A$10,0)),"")</f>
        <v/>
      </c>
    </row>
    <row r="886" spans="1:9" x14ac:dyDescent="0.2">
      <c r="A886" s="7"/>
      <c r="C886" t="str">
        <f>IFERROR(VLOOKUP(B886,'Commission Rates'!$A:$C,2,FALSE),"")</f>
        <v/>
      </c>
      <c r="E886" s="8">
        <f>IFERROR(VLOOKUP(B886,'Commission Rates'!$A:$C,3,FALSE),0)</f>
        <v>0</v>
      </c>
      <c r="F886" s="8" t="str">
        <f>IF(B886="","",D886*E886)</f>
        <v/>
      </c>
      <c r="H886" t="str">
        <f>IF(A886="","",WEEKNUM(A886,1))</f>
        <v/>
      </c>
      <c r="I886" t="str">
        <f>IFERROR(INDEX('Pay Calendar'!$B$2:$B$10,MATCH(H886,'Pay Calendar'!$A$2:$A$10,0)),"")</f>
        <v/>
      </c>
    </row>
    <row r="887" spans="1:9" x14ac:dyDescent="0.2">
      <c r="A887" s="7"/>
      <c r="C887" t="str">
        <f>IFERROR(VLOOKUP(B887,'Commission Rates'!$A:$C,2,FALSE),"")</f>
        <v/>
      </c>
      <c r="E887" s="8">
        <f>IFERROR(VLOOKUP(B887,'Commission Rates'!$A:$C,3,FALSE),0)</f>
        <v>0</v>
      </c>
      <c r="F887" s="8" t="str">
        <f>IF(B887="","",D887*E887)</f>
        <v/>
      </c>
      <c r="H887" t="str">
        <f>IF(A887="","",WEEKNUM(A887,1))</f>
        <v/>
      </c>
      <c r="I887" t="str">
        <f>IFERROR(INDEX('Pay Calendar'!$B$2:$B$10,MATCH(H887,'Pay Calendar'!$A$2:$A$10,0)),"")</f>
        <v/>
      </c>
    </row>
    <row r="888" spans="1:9" x14ac:dyDescent="0.2">
      <c r="A888" s="7"/>
      <c r="C888" t="str">
        <f>IFERROR(VLOOKUP(B888,'Commission Rates'!$A:$C,2,FALSE),"")</f>
        <v/>
      </c>
      <c r="E888" s="8">
        <f>IFERROR(VLOOKUP(B888,'Commission Rates'!$A:$C,3,FALSE),0)</f>
        <v>0</v>
      </c>
      <c r="F888" s="8" t="str">
        <f>IF(B888="","",D888*E888)</f>
        <v/>
      </c>
      <c r="H888" t="str">
        <f>IF(A888="","",WEEKNUM(A888,1))</f>
        <v/>
      </c>
      <c r="I888" t="str">
        <f>IFERROR(INDEX('Pay Calendar'!$B$2:$B$10,MATCH(H888,'Pay Calendar'!$A$2:$A$10,0)),"")</f>
        <v/>
      </c>
    </row>
    <row r="889" spans="1:9" x14ac:dyDescent="0.2">
      <c r="A889" s="7"/>
      <c r="C889" t="str">
        <f>IFERROR(VLOOKUP(B889,'Commission Rates'!$A:$C,2,FALSE),"")</f>
        <v/>
      </c>
      <c r="E889" s="8">
        <f>IFERROR(VLOOKUP(B889,'Commission Rates'!$A:$C,3,FALSE),0)</f>
        <v>0</v>
      </c>
      <c r="F889" s="8" t="str">
        <f>IF(B889="","",D889*E889)</f>
        <v/>
      </c>
      <c r="H889" t="str">
        <f>IF(A889="","",WEEKNUM(A889,1))</f>
        <v/>
      </c>
      <c r="I889" t="str">
        <f>IFERROR(INDEX('Pay Calendar'!$B$2:$B$10,MATCH(H889,'Pay Calendar'!$A$2:$A$10,0)),"")</f>
        <v/>
      </c>
    </row>
    <row r="890" spans="1:9" x14ac:dyDescent="0.2">
      <c r="A890" s="7"/>
      <c r="C890" t="str">
        <f>IFERROR(VLOOKUP(B890,'Commission Rates'!$A:$C,2,FALSE),"")</f>
        <v/>
      </c>
      <c r="E890" s="8">
        <f>IFERROR(VLOOKUP(B890,'Commission Rates'!$A:$C,3,FALSE),0)</f>
        <v>0</v>
      </c>
      <c r="F890" s="8" t="str">
        <f>IF(B890="","",D890*E890)</f>
        <v/>
      </c>
      <c r="H890" t="str">
        <f>IF(A890="","",WEEKNUM(A890,1))</f>
        <v/>
      </c>
      <c r="I890" t="str">
        <f>IFERROR(INDEX('Pay Calendar'!$B$2:$B$10,MATCH(H890,'Pay Calendar'!$A$2:$A$10,0)),"")</f>
        <v/>
      </c>
    </row>
    <row r="891" spans="1:9" x14ac:dyDescent="0.2">
      <c r="A891" s="7"/>
      <c r="C891" t="str">
        <f>IFERROR(VLOOKUP(B891,'Commission Rates'!$A:$C,2,FALSE),"")</f>
        <v/>
      </c>
      <c r="E891" s="8">
        <f>IFERROR(VLOOKUP(B891,'Commission Rates'!$A:$C,3,FALSE),0)</f>
        <v>0</v>
      </c>
      <c r="F891" s="8" t="str">
        <f>IF(B891="","",D891*E891)</f>
        <v/>
      </c>
      <c r="H891" t="str">
        <f>IF(A891="","",WEEKNUM(A891,1))</f>
        <v/>
      </c>
      <c r="I891" t="str">
        <f>IFERROR(INDEX('Pay Calendar'!$B$2:$B$10,MATCH(H891,'Pay Calendar'!$A$2:$A$10,0)),"")</f>
        <v/>
      </c>
    </row>
    <row r="892" spans="1:9" x14ac:dyDescent="0.2">
      <c r="A892" s="7"/>
      <c r="C892" t="str">
        <f>IFERROR(VLOOKUP(B892,'Commission Rates'!$A:$C,2,FALSE),"")</f>
        <v/>
      </c>
      <c r="E892" s="8">
        <f>IFERROR(VLOOKUP(B892,'Commission Rates'!$A:$C,3,FALSE),0)</f>
        <v>0</v>
      </c>
      <c r="F892" s="8" t="str">
        <f>IF(B892="","",D892*E892)</f>
        <v/>
      </c>
      <c r="H892" t="str">
        <f>IF(A892="","",WEEKNUM(A892,1))</f>
        <v/>
      </c>
      <c r="I892" t="str">
        <f>IFERROR(INDEX('Pay Calendar'!$B$2:$B$10,MATCH(H892,'Pay Calendar'!$A$2:$A$10,0)),"")</f>
        <v/>
      </c>
    </row>
    <row r="893" spans="1:9" x14ac:dyDescent="0.2">
      <c r="A893" s="7"/>
      <c r="C893" t="str">
        <f>IFERROR(VLOOKUP(B893,'Commission Rates'!$A:$C,2,FALSE),"")</f>
        <v/>
      </c>
      <c r="E893" s="8">
        <f>IFERROR(VLOOKUP(B893,'Commission Rates'!$A:$C,3,FALSE),0)</f>
        <v>0</v>
      </c>
      <c r="F893" s="8" t="str">
        <f>IF(B893="","",D893*E893)</f>
        <v/>
      </c>
      <c r="H893" t="str">
        <f>IF(A893="","",WEEKNUM(A893,1))</f>
        <v/>
      </c>
      <c r="I893" t="str">
        <f>IFERROR(INDEX('Pay Calendar'!$B$2:$B$10,MATCH(H893,'Pay Calendar'!$A$2:$A$10,0)),"")</f>
        <v/>
      </c>
    </row>
    <row r="894" spans="1:9" x14ac:dyDescent="0.2">
      <c r="A894" s="7"/>
      <c r="C894" t="str">
        <f>IFERROR(VLOOKUP(B894,'Commission Rates'!$A:$C,2,FALSE),"")</f>
        <v/>
      </c>
      <c r="E894" s="8">
        <f>IFERROR(VLOOKUP(B894,'Commission Rates'!$A:$C,3,FALSE),0)</f>
        <v>0</v>
      </c>
      <c r="F894" s="8" t="str">
        <f>IF(B894="","",D894*E894)</f>
        <v/>
      </c>
      <c r="H894" t="str">
        <f>IF(A894="","",WEEKNUM(A894,1))</f>
        <v/>
      </c>
      <c r="I894" t="str">
        <f>IFERROR(INDEX('Pay Calendar'!$B$2:$B$10,MATCH(H894,'Pay Calendar'!$A$2:$A$10,0)),"")</f>
        <v/>
      </c>
    </row>
    <row r="895" spans="1:9" x14ac:dyDescent="0.2">
      <c r="A895" s="7"/>
      <c r="C895" t="str">
        <f>IFERROR(VLOOKUP(B895,'Commission Rates'!$A:$C,2,FALSE),"")</f>
        <v/>
      </c>
      <c r="E895" s="8">
        <f>IFERROR(VLOOKUP(B895,'Commission Rates'!$A:$C,3,FALSE),0)</f>
        <v>0</v>
      </c>
      <c r="F895" s="8" t="str">
        <f>IF(B895="","",D895*E895)</f>
        <v/>
      </c>
      <c r="H895" t="str">
        <f>IF(A895="","",WEEKNUM(A895,1))</f>
        <v/>
      </c>
      <c r="I895" t="str">
        <f>IFERROR(INDEX('Pay Calendar'!$B$2:$B$10,MATCH(H895,'Pay Calendar'!$A$2:$A$10,0)),"")</f>
        <v/>
      </c>
    </row>
    <row r="896" spans="1:9" x14ac:dyDescent="0.2">
      <c r="A896" s="7"/>
      <c r="C896" t="str">
        <f>IFERROR(VLOOKUP(B896,'Commission Rates'!$A:$C,2,FALSE),"")</f>
        <v/>
      </c>
      <c r="E896" s="8">
        <f>IFERROR(VLOOKUP(B896,'Commission Rates'!$A:$C,3,FALSE),0)</f>
        <v>0</v>
      </c>
      <c r="F896" s="8" t="str">
        <f>IF(B896="","",D896*E896)</f>
        <v/>
      </c>
      <c r="H896" t="str">
        <f>IF(A896="","",WEEKNUM(A896,1))</f>
        <v/>
      </c>
      <c r="I896" t="str">
        <f>IFERROR(INDEX('Pay Calendar'!$B$2:$B$10,MATCH(H896,'Pay Calendar'!$A$2:$A$10,0)),"")</f>
        <v/>
      </c>
    </row>
    <row r="897" spans="1:9" x14ac:dyDescent="0.2">
      <c r="A897" s="7"/>
      <c r="C897" t="str">
        <f>IFERROR(VLOOKUP(B897,'Commission Rates'!$A:$C,2,FALSE),"")</f>
        <v/>
      </c>
      <c r="E897" s="8">
        <f>IFERROR(VLOOKUP(B897,'Commission Rates'!$A:$C,3,FALSE),0)</f>
        <v>0</v>
      </c>
      <c r="F897" s="8" t="str">
        <f>IF(B897="","",D897*E897)</f>
        <v/>
      </c>
      <c r="H897" t="str">
        <f>IF(A897="","",WEEKNUM(A897,1))</f>
        <v/>
      </c>
      <c r="I897" t="str">
        <f>IFERROR(INDEX('Pay Calendar'!$B$2:$B$10,MATCH(H897,'Pay Calendar'!$A$2:$A$10,0)),"")</f>
        <v/>
      </c>
    </row>
    <row r="898" spans="1:9" x14ac:dyDescent="0.2">
      <c r="A898" s="7"/>
      <c r="C898" t="str">
        <f>IFERROR(VLOOKUP(B898,'Commission Rates'!$A:$C,2,FALSE),"")</f>
        <v/>
      </c>
      <c r="E898" s="8">
        <f>IFERROR(VLOOKUP(B898,'Commission Rates'!$A:$C,3,FALSE),0)</f>
        <v>0</v>
      </c>
      <c r="F898" s="8" t="str">
        <f>IF(B898="","",D898*E898)</f>
        <v/>
      </c>
      <c r="H898" t="str">
        <f>IF(A898="","",WEEKNUM(A898,1))</f>
        <v/>
      </c>
      <c r="I898" t="str">
        <f>IFERROR(INDEX('Pay Calendar'!$B$2:$B$10,MATCH(H898,'Pay Calendar'!$A$2:$A$10,0)),"")</f>
        <v/>
      </c>
    </row>
    <row r="899" spans="1:9" x14ac:dyDescent="0.2">
      <c r="A899" s="7"/>
      <c r="C899" t="str">
        <f>IFERROR(VLOOKUP(B899,'Commission Rates'!$A:$C,2,FALSE),"")</f>
        <v/>
      </c>
      <c r="E899" s="8">
        <f>IFERROR(VLOOKUP(B899,'Commission Rates'!$A:$C,3,FALSE),0)</f>
        <v>0</v>
      </c>
      <c r="F899" s="8" t="str">
        <f>IF(B899="","",D899*E899)</f>
        <v/>
      </c>
      <c r="H899" t="str">
        <f>IF(A899="","",WEEKNUM(A899,1))</f>
        <v/>
      </c>
      <c r="I899" t="str">
        <f>IFERROR(INDEX('Pay Calendar'!$B$2:$B$10,MATCH(H899,'Pay Calendar'!$A$2:$A$10,0)),"")</f>
        <v/>
      </c>
    </row>
    <row r="900" spans="1:9" x14ac:dyDescent="0.2">
      <c r="A900" s="7"/>
      <c r="C900" t="str">
        <f>IFERROR(VLOOKUP(B900,'Commission Rates'!$A:$C,2,FALSE),"")</f>
        <v/>
      </c>
      <c r="E900" s="8">
        <f>IFERROR(VLOOKUP(B900,'Commission Rates'!$A:$C,3,FALSE),0)</f>
        <v>0</v>
      </c>
      <c r="F900" s="8" t="str">
        <f>IF(B900="","",D900*E900)</f>
        <v/>
      </c>
      <c r="H900" t="str">
        <f>IF(A900="","",WEEKNUM(A900,1))</f>
        <v/>
      </c>
      <c r="I900" t="str">
        <f>IFERROR(INDEX('Pay Calendar'!$B$2:$B$10,MATCH(H900,'Pay Calendar'!$A$2:$A$10,0)),"")</f>
        <v/>
      </c>
    </row>
    <row r="901" spans="1:9" x14ac:dyDescent="0.2">
      <c r="A901" s="7"/>
      <c r="C901" t="str">
        <f>IFERROR(VLOOKUP(B901,'Commission Rates'!$A:$C,2,FALSE),"")</f>
        <v/>
      </c>
      <c r="E901" s="8">
        <f>IFERROR(VLOOKUP(B901,'Commission Rates'!$A:$C,3,FALSE),0)</f>
        <v>0</v>
      </c>
      <c r="F901" s="8" t="str">
        <f>IF(B901="","",D901*E901)</f>
        <v/>
      </c>
      <c r="H901" t="str">
        <f>IF(A901="","",WEEKNUM(A901,1))</f>
        <v/>
      </c>
      <c r="I901" t="str">
        <f>IFERROR(INDEX('Pay Calendar'!$B$2:$B$10,MATCH(H901,'Pay Calendar'!$A$2:$A$10,0)),"")</f>
        <v/>
      </c>
    </row>
    <row r="902" spans="1:9" x14ac:dyDescent="0.2">
      <c r="A902" s="7"/>
      <c r="C902" t="str">
        <f>IFERROR(VLOOKUP(B902,'Commission Rates'!$A:$C,2,FALSE),"")</f>
        <v/>
      </c>
      <c r="E902" s="8">
        <f>IFERROR(VLOOKUP(B902,'Commission Rates'!$A:$C,3,FALSE),0)</f>
        <v>0</v>
      </c>
      <c r="F902" s="8" t="str">
        <f>IF(B902="","",D902*E902)</f>
        <v/>
      </c>
      <c r="H902" t="str">
        <f>IF(A902="","",WEEKNUM(A902,1))</f>
        <v/>
      </c>
      <c r="I902" t="str">
        <f>IFERROR(INDEX('Pay Calendar'!$B$2:$B$10,MATCH(H902,'Pay Calendar'!$A$2:$A$10,0)),"")</f>
        <v/>
      </c>
    </row>
    <row r="903" spans="1:9" x14ac:dyDescent="0.2">
      <c r="A903" s="7"/>
      <c r="C903" t="str">
        <f>IFERROR(VLOOKUP(B903,'Commission Rates'!$A:$C,2,FALSE),"")</f>
        <v/>
      </c>
      <c r="E903" s="8">
        <f>IFERROR(VLOOKUP(B903,'Commission Rates'!$A:$C,3,FALSE),0)</f>
        <v>0</v>
      </c>
      <c r="F903" s="8" t="str">
        <f>IF(B903="","",D903*E903)</f>
        <v/>
      </c>
      <c r="H903" t="str">
        <f>IF(A903="","",WEEKNUM(A903,1))</f>
        <v/>
      </c>
      <c r="I903" t="str">
        <f>IFERROR(INDEX('Pay Calendar'!$B$2:$B$10,MATCH(H903,'Pay Calendar'!$A$2:$A$10,0)),"")</f>
        <v/>
      </c>
    </row>
    <row r="904" spans="1:9" x14ac:dyDescent="0.2">
      <c r="A904" s="7"/>
      <c r="C904" t="str">
        <f>IFERROR(VLOOKUP(B904,'Commission Rates'!$A:$C,2,FALSE),"")</f>
        <v/>
      </c>
      <c r="E904" s="8">
        <f>IFERROR(VLOOKUP(B904,'Commission Rates'!$A:$C,3,FALSE),0)</f>
        <v>0</v>
      </c>
      <c r="F904" s="8" t="str">
        <f>IF(B904="","",D904*E904)</f>
        <v/>
      </c>
      <c r="H904" t="str">
        <f>IF(A904="","",WEEKNUM(A904,1))</f>
        <v/>
      </c>
      <c r="I904" t="str">
        <f>IFERROR(INDEX('Pay Calendar'!$B$2:$B$10,MATCH(H904,'Pay Calendar'!$A$2:$A$10,0)),"")</f>
        <v/>
      </c>
    </row>
    <row r="905" spans="1:9" x14ac:dyDescent="0.2">
      <c r="A905" s="7"/>
      <c r="C905" t="str">
        <f>IFERROR(VLOOKUP(B905,'Commission Rates'!$A:$C,2,FALSE),"")</f>
        <v/>
      </c>
      <c r="E905" s="8">
        <f>IFERROR(VLOOKUP(B905,'Commission Rates'!$A:$C,3,FALSE),0)</f>
        <v>0</v>
      </c>
      <c r="F905" s="8" t="str">
        <f>IF(B905="","",D905*E905)</f>
        <v/>
      </c>
      <c r="H905" t="str">
        <f>IF(A905="","",WEEKNUM(A905,1))</f>
        <v/>
      </c>
      <c r="I905" t="str">
        <f>IFERROR(INDEX('Pay Calendar'!$B$2:$B$10,MATCH(H905,'Pay Calendar'!$A$2:$A$10,0)),"")</f>
        <v/>
      </c>
    </row>
    <row r="906" spans="1:9" x14ac:dyDescent="0.2">
      <c r="A906" s="7"/>
      <c r="C906" t="str">
        <f>IFERROR(VLOOKUP(B906,'Commission Rates'!$A:$C,2,FALSE),"")</f>
        <v/>
      </c>
      <c r="E906" s="8">
        <f>IFERROR(VLOOKUP(B906,'Commission Rates'!$A:$C,3,FALSE),0)</f>
        <v>0</v>
      </c>
      <c r="F906" s="8" t="str">
        <f>IF(B906="","",D906*E906)</f>
        <v/>
      </c>
      <c r="H906" t="str">
        <f>IF(A906="","",WEEKNUM(A906,1))</f>
        <v/>
      </c>
      <c r="I906" t="str">
        <f>IFERROR(INDEX('Pay Calendar'!$B$2:$B$10,MATCH(H906,'Pay Calendar'!$A$2:$A$10,0)),"")</f>
        <v/>
      </c>
    </row>
    <row r="907" spans="1:9" x14ac:dyDescent="0.2">
      <c r="A907" s="7"/>
      <c r="C907" t="str">
        <f>IFERROR(VLOOKUP(B907,'Commission Rates'!$A:$C,2,FALSE),"")</f>
        <v/>
      </c>
      <c r="E907" s="8">
        <f>IFERROR(VLOOKUP(B907,'Commission Rates'!$A:$C,3,FALSE),0)</f>
        <v>0</v>
      </c>
      <c r="F907" s="8" t="str">
        <f>IF(B907="","",D907*E907)</f>
        <v/>
      </c>
      <c r="H907" t="str">
        <f>IF(A907="","",WEEKNUM(A907,1))</f>
        <v/>
      </c>
      <c r="I907" t="str">
        <f>IFERROR(INDEX('Pay Calendar'!$B$2:$B$10,MATCH(H907,'Pay Calendar'!$A$2:$A$10,0)),"")</f>
        <v/>
      </c>
    </row>
    <row r="908" spans="1:9" x14ac:dyDescent="0.2">
      <c r="A908" s="7"/>
      <c r="C908" t="str">
        <f>IFERROR(VLOOKUP(B908,'Commission Rates'!$A:$C,2,FALSE),"")</f>
        <v/>
      </c>
      <c r="E908" s="8">
        <f>IFERROR(VLOOKUP(B908,'Commission Rates'!$A:$C,3,FALSE),0)</f>
        <v>0</v>
      </c>
      <c r="F908" s="8" t="str">
        <f>IF(B908="","",D908*E908)</f>
        <v/>
      </c>
      <c r="H908" t="str">
        <f>IF(A908="","",WEEKNUM(A908,1))</f>
        <v/>
      </c>
      <c r="I908" t="str">
        <f>IFERROR(INDEX('Pay Calendar'!$B$2:$B$10,MATCH(H908,'Pay Calendar'!$A$2:$A$10,0)),"")</f>
        <v/>
      </c>
    </row>
    <row r="909" spans="1:9" x14ac:dyDescent="0.2">
      <c r="A909" s="7"/>
      <c r="C909" t="str">
        <f>IFERROR(VLOOKUP(B909,'Commission Rates'!$A:$C,2,FALSE),"")</f>
        <v/>
      </c>
      <c r="E909" s="8">
        <f>IFERROR(VLOOKUP(B909,'Commission Rates'!$A:$C,3,FALSE),0)</f>
        <v>0</v>
      </c>
      <c r="F909" s="8" t="str">
        <f>IF(B909="","",D909*E909)</f>
        <v/>
      </c>
      <c r="H909" t="str">
        <f>IF(A909="","",WEEKNUM(A909,1))</f>
        <v/>
      </c>
      <c r="I909" t="str">
        <f>IFERROR(INDEX('Pay Calendar'!$B$2:$B$10,MATCH(H909,'Pay Calendar'!$A$2:$A$10,0)),"")</f>
        <v/>
      </c>
    </row>
    <row r="910" spans="1:9" x14ac:dyDescent="0.2">
      <c r="A910" s="7"/>
      <c r="C910" t="str">
        <f>IFERROR(VLOOKUP(B910,'Commission Rates'!$A:$C,2,FALSE),"")</f>
        <v/>
      </c>
      <c r="E910" s="8">
        <f>IFERROR(VLOOKUP(B910,'Commission Rates'!$A:$C,3,FALSE),0)</f>
        <v>0</v>
      </c>
      <c r="F910" s="8" t="str">
        <f>IF(B910="","",D910*E910)</f>
        <v/>
      </c>
      <c r="H910" t="str">
        <f>IF(A910="","",WEEKNUM(A910,1))</f>
        <v/>
      </c>
      <c r="I910" t="str">
        <f>IFERROR(INDEX('Pay Calendar'!$B$2:$B$10,MATCH(H910,'Pay Calendar'!$A$2:$A$10,0)),"")</f>
        <v/>
      </c>
    </row>
    <row r="911" spans="1:9" x14ac:dyDescent="0.2">
      <c r="A911" s="7"/>
      <c r="C911" t="str">
        <f>IFERROR(VLOOKUP(B911,'Commission Rates'!$A:$C,2,FALSE),"")</f>
        <v/>
      </c>
      <c r="E911" s="8">
        <f>IFERROR(VLOOKUP(B911,'Commission Rates'!$A:$C,3,FALSE),0)</f>
        <v>0</v>
      </c>
      <c r="F911" s="8" t="str">
        <f>IF(B911="","",D911*E911)</f>
        <v/>
      </c>
      <c r="H911" t="str">
        <f>IF(A911="","",WEEKNUM(A911,1))</f>
        <v/>
      </c>
      <c r="I911" t="str">
        <f>IFERROR(INDEX('Pay Calendar'!$B$2:$B$10,MATCH(H911,'Pay Calendar'!$A$2:$A$10,0)),"")</f>
        <v/>
      </c>
    </row>
    <row r="912" spans="1:9" x14ac:dyDescent="0.2">
      <c r="A912" s="7"/>
      <c r="C912" t="str">
        <f>IFERROR(VLOOKUP(B912,'Commission Rates'!$A:$C,2,FALSE),"")</f>
        <v/>
      </c>
      <c r="E912" s="8">
        <f>IFERROR(VLOOKUP(B912,'Commission Rates'!$A:$C,3,FALSE),0)</f>
        <v>0</v>
      </c>
      <c r="F912" s="8" t="str">
        <f>IF(B912="","",D912*E912)</f>
        <v/>
      </c>
      <c r="H912" t="str">
        <f>IF(A912="","",WEEKNUM(A912,1))</f>
        <v/>
      </c>
      <c r="I912" t="str">
        <f>IFERROR(INDEX('Pay Calendar'!$B$2:$B$10,MATCH(H912,'Pay Calendar'!$A$2:$A$10,0)),"")</f>
        <v/>
      </c>
    </row>
    <row r="913" spans="1:9" x14ac:dyDescent="0.2">
      <c r="A913" s="7"/>
      <c r="C913" t="str">
        <f>IFERROR(VLOOKUP(B913,'Commission Rates'!$A:$C,2,FALSE),"")</f>
        <v/>
      </c>
      <c r="E913" s="8">
        <f>IFERROR(VLOOKUP(B913,'Commission Rates'!$A:$C,3,FALSE),0)</f>
        <v>0</v>
      </c>
      <c r="F913" s="8" t="str">
        <f>IF(B913="","",D913*E913)</f>
        <v/>
      </c>
      <c r="H913" t="str">
        <f>IF(A913="","",WEEKNUM(A913,1))</f>
        <v/>
      </c>
      <c r="I913" t="str">
        <f>IFERROR(INDEX('Pay Calendar'!$B$2:$B$10,MATCH(H913,'Pay Calendar'!$A$2:$A$10,0)),"")</f>
        <v/>
      </c>
    </row>
    <row r="914" spans="1:9" x14ac:dyDescent="0.2">
      <c r="A914" s="7"/>
      <c r="C914" t="str">
        <f>IFERROR(VLOOKUP(B914,'Commission Rates'!$A:$C,2,FALSE),"")</f>
        <v/>
      </c>
      <c r="E914" s="8">
        <f>IFERROR(VLOOKUP(B914,'Commission Rates'!$A:$C,3,FALSE),0)</f>
        <v>0</v>
      </c>
      <c r="F914" s="8" t="str">
        <f>IF(B914="","",D914*E914)</f>
        <v/>
      </c>
      <c r="H914" t="str">
        <f>IF(A914="","",WEEKNUM(A914,1))</f>
        <v/>
      </c>
      <c r="I914" t="str">
        <f>IFERROR(INDEX('Pay Calendar'!$B$2:$B$10,MATCH(H914,'Pay Calendar'!$A$2:$A$10,0)),"")</f>
        <v/>
      </c>
    </row>
    <row r="915" spans="1:9" x14ac:dyDescent="0.2">
      <c r="A915" s="7"/>
      <c r="C915" t="str">
        <f>IFERROR(VLOOKUP(B915,'Commission Rates'!$A:$C,2,FALSE),"")</f>
        <v/>
      </c>
      <c r="E915" s="8">
        <f>IFERROR(VLOOKUP(B915,'Commission Rates'!$A:$C,3,FALSE),0)</f>
        <v>0</v>
      </c>
      <c r="F915" s="8" t="str">
        <f>IF(B915="","",D915*E915)</f>
        <v/>
      </c>
      <c r="H915" t="str">
        <f>IF(A915="","",WEEKNUM(A915,1))</f>
        <v/>
      </c>
      <c r="I915" t="str">
        <f>IFERROR(INDEX('Pay Calendar'!$B$2:$B$10,MATCH(H915,'Pay Calendar'!$A$2:$A$10,0)),"")</f>
        <v/>
      </c>
    </row>
    <row r="916" spans="1:9" x14ac:dyDescent="0.2">
      <c r="A916" s="7"/>
      <c r="C916" t="str">
        <f>IFERROR(VLOOKUP(B916,'Commission Rates'!$A:$C,2,FALSE),"")</f>
        <v/>
      </c>
      <c r="E916" s="8">
        <f>IFERROR(VLOOKUP(B916,'Commission Rates'!$A:$C,3,FALSE),0)</f>
        <v>0</v>
      </c>
      <c r="F916" s="8" t="str">
        <f>IF(B916="","",D916*E916)</f>
        <v/>
      </c>
      <c r="H916" t="str">
        <f>IF(A916="","",WEEKNUM(A916,1))</f>
        <v/>
      </c>
      <c r="I916" t="str">
        <f>IFERROR(INDEX('Pay Calendar'!$B$2:$B$10,MATCH(H916,'Pay Calendar'!$A$2:$A$10,0)),"")</f>
        <v/>
      </c>
    </row>
    <row r="917" spans="1:9" x14ac:dyDescent="0.2">
      <c r="A917" s="7"/>
      <c r="C917" t="str">
        <f>IFERROR(VLOOKUP(B917,'Commission Rates'!$A:$C,2,FALSE),"")</f>
        <v/>
      </c>
      <c r="E917" s="8">
        <f>IFERROR(VLOOKUP(B917,'Commission Rates'!$A:$C,3,FALSE),0)</f>
        <v>0</v>
      </c>
      <c r="F917" s="8" t="str">
        <f>IF(B917="","",D917*E917)</f>
        <v/>
      </c>
      <c r="H917" t="str">
        <f>IF(A917="","",WEEKNUM(A917,1))</f>
        <v/>
      </c>
      <c r="I917" t="str">
        <f>IFERROR(INDEX('Pay Calendar'!$B$2:$B$10,MATCH(H917,'Pay Calendar'!$A$2:$A$10,0)),"")</f>
        <v/>
      </c>
    </row>
    <row r="918" spans="1:9" x14ac:dyDescent="0.2">
      <c r="A918" s="7"/>
      <c r="C918" t="str">
        <f>IFERROR(VLOOKUP(B918,'Commission Rates'!$A:$C,2,FALSE),"")</f>
        <v/>
      </c>
      <c r="E918" s="8">
        <f>IFERROR(VLOOKUP(B918,'Commission Rates'!$A:$C,3,FALSE),0)</f>
        <v>0</v>
      </c>
      <c r="F918" s="8" t="str">
        <f>IF(B918="","",D918*E918)</f>
        <v/>
      </c>
      <c r="H918" t="str">
        <f>IF(A918="","",WEEKNUM(A918,1))</f>
        <v/>
      </c>
      <c r="I918" t="str">
        <f>IFERROR(INDEX('Pay Calendar'!$B$2:$B$10,MATCH(H918,'Pay Calendar'!$A$2:$A$10,0)),"")</f>
        <v/>
      </c>
    </row>
    <row r="919" spans="1:9" x14ac:dyDescent="0.2">
      <c r="A919" s="7"/>
      <c r="C919" t="str">
        <f>IFERROR(VLOOKUP(B919,'Commission Rates'!$A:$C,2,FALSE),"")</f>
        <v/>
      </c>
      <c r="E919" s="8">
        <f>IFERROR(VLOOKUP(B919,'Commission Rates'!$A:$C,3,FALSE),0)</f>
        <v>0</v>
      </c>
      <c r="F919" s="8" t="str">
        <f>IF(B919="","",D919*E919)</f>
        <v/>
      </c>
      <c r="H919" t="str">
        <f>IF(A919="","",WEEKNUM(A919,1))</f>
        <v/>
      </c>
      <c r="I919" t="str">
        <f>IFERROR(INDEX('Pay Calendar'!$B$2:$B$10,MATCH(H919,'Pay Calendar'!$A$2:$A$10,0)),"")</f>
        <v/>
      </c>
    </row>
    <row r="920" spans="1:9" x14ac:dyDescent="0.2">
      <c r="A920" s="7"/>
      <c r="C920" t="str">
        <f>IFERROR(VLOOKUP(B920,'Commission Rates'!$A:$C,2,FALSE),"")</f>
        <v/>
      </c>
      <c r="E920" s="8">
        <f>IFERROR(VLOOKUP(B920,'Commission Rates'!$A:$C,3,FALSE),0)</f>
        <v>0</v>
      </c>
      <c r="F920" s="8" t="str">
        <f>IF(B920="","",D920*E920)</f>
        <v/>
      </c>
      <c r="H920" t="str">
        <f>IF(A920="","",WEEKNUM(A920,1))</f>
        <v/>
      </c>
      <c r="I920" t="str">
        <f>IFERROR(INDEX('Pay Calendar'!$B$2:$B$10,MATCH(H920,'Pay Calendar'!$A$2:$A$10,0)),"")</f>
        <v/>
      </c>
    </row>
    <row r="921" spans="1:9" x14ac:dyDescent="0.2">
      <c r="A921" s="7"/>
      <c r="C921" t="str">
        <f>IFERROR(VLOOKUP(B921,'Commission Rates'!$A:$C,2,FALSE),"")</f>
        <v/>
      </c>
      <c r="E921" s="8">
        <f>IFERROR(VLOOKUP(B921,'Commission Rates'!$A:$C,3,FALSE),0)</f>
        <v>0</v>
      </c>
      <c r="F921" s="8" t="str">
        <f>IF(B921="","",D921*E921)</f>
        <v/>
      </c>
      <c r="H921" t="str">
        <f>IF(A921="","",WEEKNUM(A921,1))</f>
        <v/>
      </c>
      <c r="I921" t="str">
        <f>IFERROR(INDEX('Pay Calendar'!$B$2:$B$10,MATCH(H921,'Pay Calendar'!$A$2:$A$10,0)),"")</f>
        <v/>
      </c>
    </row>
    <row r="922" spans="1:9" x14ac:dyDescent="0.2">
      <c r="A922" s="7"/>
      <c r="C922" t="str">
        <f>IFERROR(VLOOKUP(B922,'Commission Rates'!$A:$C,2,FALSE),"")</f>
        <v/>
      </c>
      <c r="E922" s="8">
        <f>IFERROR(VLOOKUP(B922,'Commission Rates'!$A:$C,3,FALSE),0)</f>
        <v>0</v>
      </c>
      <c r="F922" s="8" t="str">
        <f>IF(B922="","",D922*E922)</f>
        <v/>
      </c>
      <c r="H922" t="str">
        <f>IF(A922="","",WEEKNUM(A922,1))</f>
        <v/>
      </c>
      <c r="I922" t="str">
        <f>IFERROR(INDEX('Pay Calendar'!$B$2:$B$10,MATCH(H922,'Pay Calendar'!$A$2:$A$10,0)),"")</f>
        <v/>
      </c>
    </row>
    <row r="923" spans="1:9" x14ac:dyDescent="0.2">
      <c r="A923" s="7"/>
      <c r="C923" t="str">
        <f>IFERROR(VLOOKUP(B923,'Commission Rates'!$A:$C,2,FALSE),"")</f>
        <v/>
      </c>
      <c r="E923" s="8">
        <f>IFERROR(VLOOKUP(B923,'Commission Rates'!$A:$C,3,FALSE),0)</f>
        <v>0</v>
      </c>
      <c r="F923" s="8" t="str">
        <f>IF(B923="","",D923*E923)</f>
        <v/>
      </c>
      <c r="H923" t="str">
        <f>IF(A923="","",WEEKNUM(A923,1))</f>
        <v/>
      </c>
      <c r="I923" t="str">
        <f>IFERROR(INDEX('Pay Calendar'!$B$2:$B$10,MATCH(H923,'Pay Calendar'!$A$2:$A$10,0)),"")</f>
        <v/>
      </c>
    </row>
    <row r="924" spans="1:9" x14ac:dyDescent="0.2">
      <c r="A924" s="7"/>
      <c r="C924" t="str">
        <f>IFERROR(VLOOKUP(B924,'Commission Rates'!$A:$C,2,FALSE),"")</f>
        <v/>
      </c>
      <c r="E924" s="8">
        <f>IFERROR(VLOOKUP(B924,'Commission Rates'!$A:$C,3,FALSE),0)</f>
        <v>0</v>
      </c>
      <c r="F924" s="8" t="str">
        <f>IF(B924="","",D924*E924)</f>
        <v/>
      </c>
      <c r="H924" t="str">
        <f>IF(A924="","",WEEKNUM(A924,1))</f>
        <v/>
      </c>
      <c r="I924" t="str">
        <f>IFERROR(INDEX('Pay Calendar'!$B$2:$B$10,MATCH(H924,'Pay Calendar'!$A$2:$A$10,0)),"")</f>
        <v/>
      </c>
    </row>
    <row r="925" spans="1:9" x14ac:dyDescent="0.2">
      <c r="A925" s="7"/>
      <c r="C925" t="str">
        <f>IFERROR(VLOOKUP(B925,'Commission Rates'!$A:$C,2,FALSE),"")</f>
        <v/>
      </c>
      <c r="E925" s="8">
        <f>IFERROR(VLOOKUP(B925,'Commission Rates'!$A:$C,3,FALSE),0)</f>
        <v>0</v>
      </c>
      <c r="F925" s="8" t="str">
        <f>IF(B925="","",D925*E925)</f>
        <v/>
      </c>
      <c r="H925" t="str">
        <f>IF(A925="","",WEEKNUM(A925,1))</f>
        <v/>
      </c>
      <c r="I925" t="str">
        <f>IFERROR(INDEX('Pay Calendar'!$B$2:$B$10,MATCH(H925,'Pay Calendar'!$A$2:$A$10,0)),"")</f>
        <v/>
      </c>
    </row>
    <row r="926" spans="1:9" x14ac:dyDescent="0.2">
      <c r="A926" s="7"/>
      <c r="C926" t="str">
        <f>IFERROR(VLOOKUP(B926,'Commission Rates'!$A:$C,2,FALSE),"")</f>
        <v/>
      </c>
      <c r="E926" s="8">
        <f>IFERROR(VLOOKUP(B926,'Commission Rates'!$A:$C,3,FALSE),0)</f>
        <v>0</v>
      </c>
      <c r="F926" s="8" t="str">
        <f>IF(B926="","",D926*E926)</f>
        <v/>
      </c>
      <c r="H926" t="str">
        <f>IF(A926="","",WEEKNUM(A926,1))</f>
        <v/>
      </c>
      <c r="I926" t="str">
        <f>IFERROR(INDEX('Pay Calendar'!$B$2:$B$10,MATCH(H926,'Pay Calendar'!$A$2:$A$10,0)),"")</f>
        <v/>
      </c>
    </row>
    <row r="927" spans="1:9" x14ac:dyDescent="0.2">
      <c r="A927" s="7"/>
      <c r="C927" t="str">
        <f>IFERROR(VLOOKUP(B927,'Commission Rates'!$A:$C,2,FALSE),"")</f>
        <v/>
      </c>
      <c r="E927" s="8">
        <f>IFERROR(VLOOKUP(B927,'Commission Rates'!$A:$C,3,FALSE),0)</f>
        <v>0</v>
      </c>
      <c r="F927" s="8" t="str">
        <f>IF(B927="","",D927*E927)</f>
        <v/>
      </c>
      <c r="H927" t="str">
        <f>IF(A927="","",WEEKNUM(A927,1))</f>
        <v/>
      </c>
      <c r="I927" t="str">
        <f>IFERROR(INDEX('Pay Calendar'!$B$2:$B$10,MATCH(H927,'Pay Calendar'!$A$2:$A$10,0)),"")</f>
        <v/>
      </c>
    </row>
    <row r="928" spans="1:9" x14ac:dyDescent="0.2">
      <c r="A928" s="7"/>
      <c r="C928" t="str">
        <f>IFERROR(VLOOKUP(B928,'Commission Rates'!$A:$C,2,FALSE),"")</f>
        <v/>
      </c>
      <c r="E928" s="8">
        <f>IFERROR(VLOOKUP(B928,'Commission Rates'!$A:$C,3,FALSE),0)</f>
        <v>0</v>
      </c>
      <c r="F928" s="8" t="str">
        <f>IF(B928="","",D928*E928)</f>
        <v/>
      </c>
      <c r="H928" t="str">
        <f>IF(A928="","",WEEKNUM(A928,1))</f>
        <v/>
      </c>
      <c r="I928" t="str">
        <f>IFERROR(INDEX('Pay Calendar'!$B$2:$B$10,MATCH(H928,'Pay Calendar'!$A$2:$A$10,0)),"")</f>
        <v/>
      </c>
    </row>
    <row r="929" spans="1:9" x14ac:dyDescent="0.2">
      <c r="A929" s="7"/>
      <c r="C929" t="str">
        <f>IFERROR(VLOOKUP(B929,'Commission Rates'!$A:$C,2,FALSE),"")</f>
        <v/>
      </c>
      <c r="E929" s="8">
        <f>IFERROR(VLOOKUP(B929,'Commission Rates'!$A:$C,3,FALSE),0)</f>
        <v>0</v>
      </c>
      <c r="F929" s="8" t="str">
        <f>IF(B929="","",D929*E929)</f>
        <v/>
      </c>
      <c r="H929" t="str">
        <f>IF(A929="","",WEEKNUM(A929,1))</f>
        <v/>
      </c>
      <c r="I929" t="str">
        <f>IFERROR(INDEX('Pay Calendar'!$B$2:$B$10,MATCH(H929,'Pay Calendar'!$A$2:$A$10,0)),"")</f>
        <v/>
      </c>
    </row>
    <row r="930" spans="1:9" x14ac:dyDescent="0.2">
      <c r="A930" s="7"/>
      <c r="C930" t="str">
        <f>IFERROR(VLOOKUP(B930,'Commission Rates'!$A:$C,2,FALSE),"")</f>
        <v/>
      </c>
      <c r="E930" s="8">
        <f>IFERROR(VLOOKUP(B930,'Commission Rates'!$A:$C,3,FALSE),0)</f>
        <v>0</v>
      </c>
      <c r="F930" s="8" t="str">
        <f>IF(B930="","",D930*E930)</f>
        <v/>
      </c>
      <c r="H930" t="str">
        <f>IF(A930="","",WEEKNUM(A930,1))</f>
        <v/>
      </c>
      <c r="I930" t="str">
        <f>IFERROR(INDEX('Pay Calendar'!$B$2:$B$10,MATCH(H930,'Pay Calendar'!$A$2:$A$10,0)),"")</f>
        <v/>
      </c>
    </row>
    <row r="931" spans="1:9" x14ac:dyDescent="0.2">
      <c r="A931" s="7"/>
      <c r="C931" t="str">
        <f>IFERROR(VLOOKUP(B931,'Commission Rates'!$A:$C,2,FALSE),"")</f>
        <v/>
      </c>
      <c r="E931" s="8">
        <f>IFERROR(VLOOKUP(B931,'Commission Rates'!$A:$C,3,FALSE),0)</f>
        <v>0</v>
      </c>
      <c r="F931" s="8" t="str">
        <f>IF(B931="","",D931*E931)</f>
        <v/>
      </c>
      <c r="H931" t="str">
        <f>IF(A931="","",WEEKNUM(A931,1))</f>
        <v/>
      </c>
      <c r="I931" t="str">
        <f>IFERROR(INDEX('Pay Calendar'!$B$2:$B$10,MATCH(H931,'Pay Calendar'!$A$2:$A$10,0)),"")</f>
        <v/>
      </c>
    </row>
    <row r="932" spans="1:9" x14ac:dyDescent="0.2">
      <c r="A932" s="7"/>
      <c r="C932" t="str">
        <f>IFERROR(VLOOKUP(B932,'Commission Rates'!$A:$C,2,FALSE),"")</f>
        <v/>
      </c>
      <c r="E932" s="8">
        <f>IFERROR(VLOOKUP(B932,'Commission Rates'!$A:$C,3,FALSE),0)</f>
        <v>0</v>
      </c>
      <c r="F932" s="8" t="str">
        <f>IF(B932="","",D932*E932)</f>
        <v/>
      </c>
      <c r="H932" t="str">
        <f>IF(A932="","",WEEKNUM(A932,1))</f>
        <v/>
      </c>
      <c r="I932" t="str">
        <f>IFERROR(INDEX('Pay Calendar'!$B$2:$B$10,MATCH(H932,'Pay Calendar'!$A$2:$A$10,0)),"")</f>
        <v/>
      </c>
    </row>
    <row r="933" spans="1:9" x14ac:dyDescent="0.2">
      <c r="A933" s="7"/>
      <c r="C933" t="str">
        <f>IFERROR(VLOOKUP(B933,'Commission Rates'!$A:$C,2,FALSE),"")</f>
        <v/>
      </c>
      <c r="E933" s="8">
        <f>IFERROR(VLOOKUP(B933,'Commission Rates'!$A:$C,3,FALSE),0)</f>
        <v>0</v>
      </c>
      <c r="F933" s="8" t="str">
        <f>IF(B933="","",D933*E933)</f>
        <v/>
      </c>
      <c r="H933" t="str">
        <f>IF(A933="","",WEEKNUM(A933,1))</f>
        <v/>
      </c>
      <c r="I933" t="str">
        <f>IFERROR(INDEX('Pay Calendar'!$B$2:$B$10,MATCH(H933,'Pay Calendar'!$A$2:$A$10,0)),"")</f>
        <v/>
      </c>
    </row>
    <row r="934" spans="1:9" x14ac:dyDescent="0.2">
      <c r="A934" s="7"/>
      <c r="C934" t="str">
        <f>IFERROR(VLOOKUP(B934,'Commission Rates'!$A:$C,2,FALSE),"")</f>
        <v/>
      </c>
      <c r="E934" s="8">
        <f>IFERROR(VLOOKUP(B934,'Commission Rates'!$A:$C,3,FALSE),0)</f>
        <v>0</v>
      </c>
      <c r="F934" s="8" t="str">
        <f>IF(B934="","",D934*E934)</f>
        <v/>
      </c>
      <c r="H934" t="str">
        <f>IF(A934="","",WEEKNUM(A934,1))</f>
        <v/>
      </c>
      <c r="I934" t="str">
        <f>IFERROR(INDEX('Pay Calendar'!$B$2:$B$10,MATCH(H934,'Pay Calendar'!$A$2:$A$10,0)),"")</f>
        <v/>
      </c>
    </row>
    <row r="935" spans="1:9" x14ac:dyDescent="0.2">
      <c r="A935" s="7"/>
      <c r="C935" t="str">
        <f>IFERROR(VLOOKUP(B935,'Commission Rates'!$A:$C,2,FALSE),"")</f>
        <v/>
      </c>
      <c r="E935" s="8">
        <f>IFERROR(VLOOKUP(B935,'Commission Rates'!$A:$C,3,FALSE),0)</f>
        <v>0</v>
      </c>
      <c r="F935" s="8" t="str">
        <f>IF(B935="","",D935*E935)</f>
        <v/>
      </c>
      <c r="H935" t="str">
        <f>IF(A935="","",WEEKNUM(A935,1))</f>
        <v/>
      </c>
      <c r="I935" t="str">
        <f>IFERROR(INDEX('Pay Calendar'!$B$2:$B$10,MATCH(H935,'Pay Calendar'!$A$2:$A$10,0)),"")</f>
        <v/>
      </c>
    </row>
    <row r="936" spans="1:9" x14ac:dyDescent="0.2">
      <c r="A936" s="7"/>
      <c r="C936" t="str">
        <f>IFERROR(VLOOKUP(B936,'Commission Rates'!$A:$C,2,FALSE),"")</f>
        <v/>
      </c>
      <c r="E936" s="8">
        <f>IFERROR(VLOOKUP(B936,'Commission Rates'!$A:$C,3,FALSE),0)</f>
        <v>0</v>
      </c>
      <c r="F936" s="8" t="str">
        <f>IF(B936="","",D936*E936)</f>
        <v/>
      </c>
      <c r="H936" t="str">
        <f>IF(A936="","",WEEKNUM(A936,1))</f>
        <v/>
      </c>
      <c r="I936" t="str">
        <f>IFERROR(INDEX('Pay Calendar'!$B$2:$B$10,MATCH(H936,'Pay Calendar'!$A$2:$A$10,0)),"")</f>
        <v/>
      </c>
    </row>
    <row r="937" spans="1:9" x14ac:dyDescent="0.2">
      <c r="A937" s="7"/>
      <c r="C937" t="str">
        <f>IFERROR(VLOOKUP(B937,'Commission Rates'!$A:$C,2,FALSE),"")</f>
        <v/>
      </c>
      <c r="E937" s="8">
        <f>IFERROR(VLOOKUP(B937,'Commission Rates'!$A:$C,3,FALSE),0)</f>
        <v>0</v>
      </c>
      <c r="F937" s="8" t="str">
        <f>IF(B937="","",D937*E937)</f>
        <v/>
      </c>
      <c r="H937" t="str">
        <f>IF(A937="","",WEEKNUM(A937,1))</f>
        <v/>
      </c>
      <c r="I937" t="str">
        <f>IFERROR(INDEX('Pay Calendar'!$B$2:$B$10,MATCH(H937,'Pay Calendar'!$A$2:$A$10,0)),"")</f>
        <v/>
      </c>
    </row>
    <row r="938" spans="1:9" x14ac:dyDescent="0.2">
      <c r="A938" s="7"/>
      <c r="C938" t="str">
        <f>IFERROR(VLOOKUP(B938,'Commission Rates'!$A:$C,2,FALSE),"")</f>
        <v/>
      </c>
      <c r="E938" s="8">
        <f>IFERROR(VLOOKUP(B938,'Commission Rates'!$A:$C,3,FALSE),0)</f>
        <v>0</v>
      </c>
      <c r="F938" s="8" t="str">
        <f>IF(B938="","",D938*E938)</f>
        <v/>
      </c>
      <c r="H938" t="str">
        <f>IF(A938="","",WEEKNUM(A938,1))</f>
        <v/>
      </c>
      <c r="I938" t="str">
        <f>IFERROR(INDEX('Pay Calendar'!$B$2:$B$10,MATCH(H938,'Pay Calendar'!$A$2:$A$10,0)),"")</f>
        <v/>
      </c>
    </row>
    <row r="939" spans="1:9" x14ac:dyDescent="0.2">
      <c r="A939" s="7"/>
      <c r="C939" t="str">
        <f>IFERROR(VLOOKUP(B939,'Commission Rates'!$A:$C,2,FALSE),"")</f>
        <v/>
      </c>
      <c r="E939" s="8">
        <f>IFERROR(VLOOKUP(B939,'Commission Rates'!$A:$C,3,FALSE),0)</f>
        <v>0</v>
      </c>
      <c r="F939" s="8" t="str">
        <f>IF(B939="","",D939*E939)</f>
        <v/>
      </c>
      <c r="H939" t="str">
        <f>IF(A939="","",WEEKNUM(A939,1))</f>
        <v/>
      </c>
      <c r="I939" t="str">
        <f>IFERROR(INDEX('Pay Calendar'!$B$2:$B$10,MATCH(H939,'Pay Calendar'!$A$2:$A$10,0)),"")</f>
        <v/>
      </c>
    </row>
    <row r="940" spans="1:9" x14ac:dyDescent="0.2">
      <c r="A940" s="7"/>
      <c r="C940" t="str">
        <f>IFERROR(VLOOKUP(B940,'Commission Rates'!$A:$C,2,FALSE),"")</f>
        <v/>
      </c>
      <c r="E940" s="8">
        <f>IFERROR(VLOOKUP(B940,'Commission Rates'!$A:$C,3,FALSE),0)</f>
        <v>0</v>
      </c>
      <c r="F940" s="8" t="str">
        <f>IF(B940="","",D940*E940)</f>
        <v/>
      </c>
      <c r="H940" t="str">
        <f>IF(A940="","",WEEKNUM(A940,1))</f>
        <v/>
      </c>
      <c r="I940" t="str">
        <f>IFERROR(INDEX('Pay Calendar'!$B$2:$B$10,MATCH(H940,'Pay Calendar'!$A$2:$A$10,0)),"")</f>
        <v/>
      </c>
    </row>
    <row r="941" spans="1:9" x14ac:dyDescent="0.2">
      <c r="A941" s="7"/>
      <c r="C941" t="str">
        <f>IFERROR(VLOOKUP(B941,'Commission Rates'!$A:$C,2,FALSE),"")</f>
        <v/>
      </c>
      <c r="E941" s="8">
        <f>IFERROR(VLOOKUP(B941,'Commission Rates'!$A:$C,3,FALSE),0)</f>
        <v>0</v>
      </c>
      <c r="F941" s="8" t="str">
        <f>IF(B941="","",D941*E941)</f>
        <v/>
      </c>
      <c r="H941" t="str">
        <f>IF(A941="","",WEEKNUM(A941,1))</f>
        <v/>
      </c>
      <c r="I941" t="str">
        <f>IFERROR(INDEX('Pay Calendar'!$B$2:$B$10,MATCH(H941,'Pay Calendar'!$A$2:$A$10,0)),"")</f>
        <v/>
      </c>
    </row>
    <row r="942" spans="1:9" x14ac:dyDescent="0.2">
      <c r="A942" s="7"/>
      <c r="C942" t="str">
        <f>IFERROR(VLOOKUP(B942,'Commission Rates'!$A:$C,2,FALSE),"")</f>
        <v/>
      </c>
      <c r="E942" s="8">
        <f>IFERROR(VLOOKUP(B942,'Commission Rates'!$A:$C,3,FALSE),0)</f>
        <v>0</v>
      </c>
      <c r="F942" s="8" t="str">
        <f>IF(B942="","",D942*E942)</f>
        <v/>
      </c>
      <c r="H942" t="str">
        <f>IF(A942="","",WEEKNUM(A942,1))</f>
        <v/>
      </c>
      <c r="I942" t="str">
        <f>IFERROR(INDEX('Pay Calendar'!$B$2:$B$10,MATCH(H942,'Pay Calendar'!$A$2:$A$10,0)),"")</f>
        <v/>
      </c>
    </row>
    <row r="943" spans="1:9" x14ac:dyDescent="0.2">
      <c r="A943" s="7"/>
      <c r="C943" t="str">
        <f>IFERROR(VLOOKUP(B943,'Commission Rates'!$A:$C,2,FALSE),"")</f>
        <v/>
      </c>
      <c r="E943" s="8">
        <f>IFERROR(VLOOKUP(B943,'Commission Rates'!$A:$C,3,FALSE),0)</f>
        <v>0</v>
      </c>
      <c r="F943" s="8" t="str">
        <f>IF(B943="","",D943*E943)</f>
        <v/>
      </c>
      <c r="H943" t="str">
        <f>IF(A943="","",WEEKNUM(A943,1))</f>
        <v/>
      </c>
      <c r="I943" t="str">
        <f>IFERROR(INDEX('Pay Calendar'!$B$2:$B$10,MATCH(H943,'Pay Calendar'!$A$2:$A$10,0)),"")</f>
        <v/>
      </c>
    </row>
    <row r="944" spans="1:9" x14ac:dyDescent="0.2">
      <c r="A944" s="7"/>
      <c r="C944" t="str">
        <f>IFERROR(VLOOKUP(B944,'Commission Rates'!$A:$C,2,FALSE),"")</f>
        <v/>
      </c>
      <c r="E944" s="8">
        <f>IFERROR(VLOOKUP(B944,'Commission Rates'!$A:$C,3,FALSE),0)</f>
        <v>0</v>
      </c>
      <c r="F944" s="8" t="str">
        <f>IF(B944="","",D944*E944)</f>
        <v/>
      </c>
      <c r="H944" t="str">
        <f>IF(A944="","",WEEKNUM(A944,1))</f>
        <v/>
      </c>
      <c r="I944" t="str">
        <f>IFERROR(INDEX('Pay Calendar'!$B$2:$B$10,MATCH(H944,'Pay Calendar'!$A$2:$A$10,0)),"")</f>
        <v/>
      </c>
    </row>
    <row r="945" spans="1:9" x14ac:dyDescent="0.2">
      <c r="A945" s="7"/>
      <c r="C945" t="str">
        <f>IFERROR(VLOOKUP(B945,'Commission Rates'!$A:$C,2,FALSE),"")</f>
        <v/>
      </c>
      <c r="E945" s="8">
        <f>IFERROR(VLOOKUP(B945,'Commission Rates'!$A:$C,3,FALSE),0)</f>
        <v>0</v>
      </c>
      <c r="F945" s="8" t="str">
        <f>IF(B945="","",D945*E945)</f>
        <v/>
      </c>
      <c r="H945" t="str">
        <f>IF(A945="","",WEEKNUM(A945,1))</f>
        <v/>
      </c>
      <c r="I945" t="str">
        <f>IFERROR(INDEX('Pay Calendar'!$B$2:$B$10,MATCH(H945,'Pay Calendar'!$A$2:$A$10,0)),"")</f>
        <v/>
      </c>
    </row>
    <row r="946" spans="1:9" x14ac:dyDescent="0.2">
      <c r="A946" s="7"/>
      <c r="C946" t="str">
        <f>IFERROR(VLOOKUP(B946,'Commission Rates'!$A:$C,2,FALSE),"")</f>
        <v/>
      </c>
      <c r="E946" s="8">
        <f>IFERROR(VLOOKUP(B946,'Commission Rates'!$A:$C,3,FALSE),0)</f>
        <v>0</v>
      </c>
      <c r="F946" s="8" t="str">
        <f>IF(B946="","",D946*E946)</f>
        <v/>
      </c>
      <c r="H946" t="str">
        <f>IF(A946="","",WEEKNUM(A946,1))</f>
        <v/>
      </c>
      <c r="I946" t="str">
        <f>IFERROR(INDEX('Pay Calendar'!$B$2:$B$10,MATCH(H946,'Pay Calendar'!$A$2:$A$10,0)),"")</f>
        <v/>
      </c>
    </row>
    <row r="947" spans="1:9" x14ac:dyDescent="0.2">
      <c r="A947" s="7"/>
      <c r="C947" t="str">
        <f>IFERROR(VLOOKUP(B947,'Commission Rates'!$A:$C,2,FALSE),"")</f>
        <v/>
      </c>
      <c r="E947" s="8">
        <f>IFERROR(VLOOKUP(B947,'Commission Rates'!$A:$C,3,FALSE),0)</f>
        <v>0</v>
      </c>
      <c r="F947" s="8" t="str">
        <f>IF(B947="","",D947*E947)</f>
        <v/>
      </c>
      <c r="H947" t="str">
        <f>IF(A947="","",WEEKNUM(A947,1))</f>
        <v/>
      </c>
      <c r="I947" t="str">
        <f>IFERROR(INDEX('Pay Calendar'!$B$2:$B$10,MATCH(H947,'Pay Calendar'!$A$2:$A$10,0)),"")</f>
        <v/>
      </c>
    </row>
    <row r="948" spans="1:9" x14ac:dyDescent="0.2">
      <c r="A948" s="7"/>
      <c r="C948" t="str">
        <f>IFERROR(VLOOKUP(B948,'Commission Rates'!$A:$C,2,FALSE),"")</f>
        <v/>
      </c>
      <c r="E948" s="8">
        <f>IFERROR(VLOOKUP(B948,'Commission Rates'!$A:$C,3,FALSE),0)</f>
        <v>0</v>
      </c>
      <c r="F948" s="8" t="str">
        <f>IF(B948="","",D948*E948)</f>
        <v/>
      </c>
      <c r="H948" t="str">
        <f>IF(A948="","",WEEKNUM(A948,1))</f>
        <v/>
      </c>
      <c r="I948" t="str">
        <f>IFERROR(INDEX('Pay Calendar'!$B$2:$B$10,MATCH(H948,'Pay Calendar'!$A$2:$A$10,0)),"")</f>
        <v/>
      </c>
    </row>
    <row r="949" spans="1:9" x14ac:dyDescent="0.2">
      <c r="A949" s="7"/>
      <c r="C949" t="str">
        <f>IFERROR(VLOOKUP(B949,'Commission Rates'!$A:$C,2,FALSE),"")</f>
        <v/>
      </c>
      <c r="E949" s="8">
        <f>IFERROR(VLOOKUP(B949,'Commission Rates'!$A:$C,3,FALSE),0)</f>
        <v>0</v>
      </c>
      <c r="F949" s="8" t="str">
        <f>IF(B949="","",D949*E949)</f>
        <v/>
      </c>
      <c r="H949" t="str">
        <f>IF(A949="","",WEEKNUM(A949,1))</f>
        <v/>
      </c>
      <c r="I949" t="str">
        <f>IFERROR(INDEX('Pay Calendar'!$B$2:$B$10,MATCH(H949,'Pay Calendar'!$A$2:$A$10,0)),"")</f>
        <v/>
      </c>
    </row>
    <row r="950" spans="1:9" x14ac:dyDescent="0.2">
      <c r="A950" s="7"/>
      <c r="C950" t="str">
        <f>IFERROR(VLOOKUP(B950,'Commission Rates'!$A:$C,2,FALSE),"")</f>
        <v/>
      </c>
      <c r="E950" s="8">
        <f>IFERROR(VLOOKUP(B950,'Commission Rates'!$A:$C,3,FALSE),0)</f>
        <v>0</v>
      </c>
      <c r="F950" s="8" t="str">
        <f>IF(B950="","",D950*E950)</f>
        <v/>
      </c>
      <c r="H950" t="str">
        <f>IF(A950="","",WEEKNUM(A950,1))</f>
        <v/>
      </c>
      <c r="I950" t="str">
        <f>IFERROR(INDEX('Pay Calendar'!$B$2:$B$10,MATCH(H950,'Pay Calendar'!$A$2:$A$10,0)),"")</f>
        <v/>
      </c>
    </row>
    <row r="951" spans="1:9" x14ac:dyDescent="0.2">
      <c r="A951" s="7"/>
      <c r="C951" t="str">
        <f>IFERROR(VLOOKUP(B951,'Commission Rates'!$A:$C,2,FALSE),"")</f>
        <v/>
      </c>
      <c r="E951" s="8">
        <f>IFERROR(VLOOKUP(B951,'Commission Rates'!$A:$C,3,FALSE),0)</f>
        <v>0</v>
      </c>
      <c r="F951" s="8" t="str">
        <f>IF(B951="","",D951*E951)</f>
        <v/>
      </c>
      <c r="H951" t="str">
        <f>IF(A951="","",WEEKNUM(A951,1))</f>
        <v/>
      </c>
      <c r="I951" t="str">
        <f>IFERROR(INDEX('Pay Calendar'!$B$2:$B$10,MATCH(H951,'Pay Calendar'!$A$2:$A$10,0)),"")</f>
        <v/>
      </c>
    </row>
    <row r="952" spans="1:9" x14ac:dyDescent="0.2">
      <c r="A952" s="7"/>
      <c r="C952" t="str">
        <f>IFERROR(VLOOKUP(B952,'Commission Rates'!$A:$C,2,FALSE),"")</f>
        <v/>
      </c>
      <c r="E952" s="8">
        <f>IFERROR(VLOOKUP(B952,'Commission Rates'!$A:$C,3,FALSE),0)</f>
        <v>0</v>
      </c>
      <c r="F952" s="8" t="str">
        <f>IF(B952="","",D952*E952)</f>
        <v/>
      </c>
      <c r="H952" t="str">
        <f>IF(A952="","",WEEKNUM(A952,1))</f>
        <v/>
      </c>
      <c r="I952" t="str">
        <f>IFERROR(INDEX('Pay Calendar'!$B$2:$B$10,MATCH(H952,'Pay Calendar'!$A$2:$A$10,0)),"")</f>
        <v/>
      </c>
    </row>
    <row r="953" spans="1:9" x14ac:dyDescent="0.2">
      <c r="A953" s="7"/>
      <c r="C953" t="str">
        <f>IFERROR(VLOOKUP(B953,'Commission Rates'!$A:$C,2,FALSE),"")</f>
        <v/>
      </c>
      <c r="E953" s="8">
        <f>IFERROR(VLOOKUP(B953,'Commission Rates'!$A:$C,3,FALSE),0)</f>
        <v>0</v>
      </c>
      <c r="F953" s="8" t="str">
        <f>IF(B953="","",D953*E953)</f>
        <v/>
      </c>
      <c r="H953" t="str">
        <f>IF(A953="","",WEEKNUM(A953,1))</f>
        <v/>
      </c>
      <c r="I953" t="str">
        <f>IFERROR(INDEX('Pay Calendar'!$B$2:$B$10,MATCH(H953,'Pay Calendar'!$A$2:$A$10,0)),"")</f>
        <v/>
      </c>
    </row>
    <row r="954" spans="1:9" x14ac:dyDescent="0.2">
      <c r="A954" s="7"/>
      <c r="C954" t="str">
        <f>IFERROR(VLOOKUP(B954,'Commission Rates'!$A:$C,2,FALSE),"")</f>
        <v/>
      </c>
      <c r="E954" s="8">
        <f>IFERROR(VLOOKUP(B954,'Commission Rates'!$A:$C,3,FALSE),0)</f>
        <v>0</v>
      </c>
      <c r="F954" s="8" t="str">
        <f>IF(B954="","",D954*E954)</f>
        <v/>
      </c>
      <c r="H954" t="str">
        <f>IF(A954="","",WEEKNUM(A954,1))</f>
        <v/>
      </c>
      <c r="I954" t="str">
        <f>IFERROR(INDEX('Pay Calendar'!$B$2:$B$10,MATCH(H954,'Pay Calendar'!$A$2:$A$10,0)),"")</f>
        <v/>
      </c>
    </row>
    <row r="955" spans="1:9" x14ac:dyDescent="0.2">
      <c r="A955" s="7"/>
      <c r="C955" t="str">
        <f>IFERROR(VLOOKUP(B955,'Commission Rates'!$A:$C,2,FALSE),"")</f>
        <v/>
      </c>
      <c r="E955" s="8">
        <f>IFERROR(VLOOKUP(B955,'Commission Rates'!$A:$C,3,FALSE),0)</f>
        <v>0</v>
      </c>
      <c r="F955" s="8" t="str">
        <f>IF(B955="","",D955*E955)</f>
        <v/>
      </c>
      <c r="H955" t="str">
        <f>IF(A955="","",WEEKNUM(A955,1))</f>
        <v/>
      </c>
      <c r="I955" t="str">
        <f>IFERROR(INDEX('Pay Calendar'!$B$2:$B$10,MATCH(H955,'Pay Calendar'!$A$2:$A$10,0)),"")</f>
        <v/>
      </c>
    </row>
    <row r="956" spans="1:9" x14ac:dyDescent="0.2">
      <c r="A956" s="7"/>
      <c r="C956" t="str">
        <f>IFERROR(VLOOKUP(B956,'Commission Rates'!$A:$C,2,FALSE),"")</f>
        <v/>
      </c>
      <c r="E956" s="8">
        <f>IFERROR(VLOOKUP(B956,'Commission Rates'!$A:$C,3,FALSE),0)</f>
        <v>0</v>
      </c>
      <c r="F956" s="8" t="str">
        <f>IF(B956="","",D956*E956)</f>
        <v/>
      </c>
      <c r="H956" t="str">
        <f>IF(A956="","",WEEKNUM(A956,1))</f>
        <v/>
      </c>
      <c r="I956" t="str">
        <f>IFERROR(INDEX('Pay Calendar'!$B$2:$B$10,MATCH(H956,'Pay Calendar'!$A$2:$A$10,0)),"")</f>
        <v/>
      </c>
    </row>
    <row r="957" spans="1:9" x14ac:dyDescent="0.2">
      <c r="A957" s="7"/>
      <c r="C957" t="str">
        <f>IFERROR(VLOOKUP(B957,'Commission Rates'!$A:$C,2,FALSE),"")</f>
        <v/>
      </c>
      <c r="E957" s="8">
        <f>IFERROR(VLOOKUP(B957,'Commission Rates'!$A:$C,3,FALSE),0)</f>
        <v>0</v>
      </c>
      <c r="F957" s="8" t="str">
        <f>IF(B957="","",D957*E957)</f>
        <v/>
      </c>
      <c r="H957" t="str">
        <f>IF(A957="","",WEEKNUM(A957,1))</f>
        <v/>
      </c>
      <c r="I957" t="str">
        <f>IFERROR(INDEX('Pay Calendar'!$B$2:$B$10,MATCH(H957,'Pay Calendar'!$A$2:$A$10,0)),"")</f>
        <v/>
      </c>
    </row>
    <row r="958" spans="1:9" x14ac:dyDescent="0.2">
      <c r="A958" s="7"/>
      <c r="C958" t="str">
        <f>IFERROR(VLOOKUP(B958,'Commission Rates'!$A:$C,2,FALSE),"")</f>
        <v/>
      </c>
      <c r="E958" s="8">
        <f>IFERROR(VLOOKUP(B958,'Commission Rates'!$A:$C,3,FALSE),0)</f>
        <v>0</v>
      </c>
      <c r="F958" s="8" t="str">
        <f>IF(B958="","",D958*E958)</f>
        <v/>
      </c>
      <c r="H958" t="str">
        <f>IF(A958="","",WEEKNUM(A958,1))</f>
        <v/>
      </c>
      <c r="I958" t="str">
        <f>IFERROR(INDEX('Pay Calendar'!$B$2:$B$10,MATCH(H958,'Pay Calendar'!$A$2:$A$10,0)),"")</f>
        <v/>
      </c>
    </row>
    <row r="959" spans="1:9" x14ac:dyDescent="0.2">
      <c r="A959" s="7"/>
      <c r="C959" t="str">
        <f>IFERROR(VLOOKUP(B959,'Commission Rates'!$A:$C,2,FALSE),"")</f>
        <v/>
      </c>
      <c r="E959" s="8">
        <f>IFERROR(VLOOKUP(B959,'Commission Rates'!$A:$C,3,FALSE),0)</f>
        <v>0</v>
      </c>
      <c r="F959" s="8" t="str">
        <f>IF(B959="","",D959*E959)</f>
        <v/>
      </c>
      <c r="H959" t="str">
        <f>IF(A959="","",WEEKNUM(A959,1))</f>
        <v/>
      </c>
      <c r="I959" t="str">
        <f>IFERROR(INDEX('Pay Calendar'!$B$2:$B$10,MATCH(H959,'Pay Calendar'!$A$2:$A$10,0)),"")</f>
        <v/>
      </c>
    </row>
    <row r="960" spans="1:9" x14ac:dyDescent="0.2">
      <c r="A960" s="7"/>
      <c r="C960" t="str">
        <f>IFERROR(VLOOKUP(B960,'Commission Rates'!$A:$C,2,FALSE),"")</f>
        <v/>
      </c>
      <c r="E960" s="8">
        <f>IFERROR(VLOOKUP(B960,'Commission Rates'!$A:$C,3,FALSE),0)</f>
        <v>0</v>
      </c>
      <c r="F960" s="8" t="str">
        <f>IF(B960="","",D960*E960)</f>
        <v/>
      </c>
      <c r="H960" t="str">
        <f>IF(A960="","",WEEKNUM(A960,1))</f>
        <v/>
      </c>
      <c r="I960" t="str">
        <f>IFERROR(INDEX('Pay Calendar'!$B$2:$B$10,MATCH(H960,'Pay Calendar'!$A$2:$A$10,0)),"")</f>
        <v/>
      </c>
    </row>
    <row r="961" spans="1:9" x14ac:dyDescent="0.2">
      <c r="A961" s="7"/>
      <c r="C961" t="str">
        <f>IFERROR(VLOOKUP(B961,'Commission Rates'!$A:$C,2,FALSE),"")</f>
        <v/>
      </c>
      <c r="E961" s="8">
        <f>IFERROR(VLOOKUP(B961,'Commission Rates'!$A:$C,3,FALSE),0)</f>
        <v>0</v>
      </c>
      <c r="F961" s="8" t="str">
        <f>IF(B961="","",D961*E961)</f>
        <v/>
      </c>
      <c r="H961" t="str">
        <f>IF(A961="","",WEEKNUM(A961,1))</f>
        <v/>
      </c>
      <c r="I961" t="str">
        <f>IFERROR(INDEX('Pay Calendar'!$B$2:$B$10,MATCH(H961,'Pay Calendar'!$A$2:$A$10,0)),"")</f>
        <v/>
      </c>
    </row>
    <row r="962" spans="1:9" x14ac:dyDescent="0.2">
      <c r="A962" s="7"/>
      <c r="C962" t="str">
        <f>IFERROR(VLOOKUP(B962,'Commission Rates'!$A:$C,2,FALSE),"")</f>
        <v/>
      </c>
      <c r="E962" s="8">
        <f>IFERROR(VLOOKUP(B962,'Commission Rates'!$A:$C,3,FALSE),0)</f>
        <v>0</v>
      </c>
      <c r="F962" s="8" t="str">
        <f>IF(B962="","",D962*E962)</f>
        <v/>
      </c>
      <c r="H962" t="str">
        <f>IF(A962="","",WEEKNUM(A962,1))</f>
        <v/>
      </c>
      <c r="I962" t="str">
        <f>IFERROR(INDEX('Pay Calendar'!$B$2:$B$10,MATCH(H962,'Pay Calendar'!$A$2:$A$10,0)),"")</f>
        <v/>
      </c>
    </row>
    <row r="963" spans="1:9" x14ac:dyDescent="0.2">
      <c r="A963" s="7"/>
      <c r="C963" t="str">
        <f>IFERROR(VLOOKUP(B963,'Commission Rates'!$A:$C,2,FALSE),"")</f>
        <v/>
      </c>
      <c r="E963" s="8">
        <f>IFERROR(VLOOKUP(B963,'Commission Rates'!$A:$C,3,FALSE),0)</f>
        <v>0</v>
      </c>
      <c r="F963" s="8" t="str">
        <f>IF(B963="","",D963*E963)</f>
        <v/>
      </c>
      <c r="H963" t="str">
        <f>IF(A963="","",WEEKNUM(A963,1))</f>
        <v/>
      </c>
      <c r="I963" t="str">
        <f>IFERROR(INDEX('Pay Calendar'!$B$2:$B$10,MATCH(H963,'Pay Calendar'!$A$2:$A$10,0)),"")</f>
        <v/>
      </c>
    </row>
    <row r="964" spans="1:9" x14ac:dyDescent="0.2">
      <c r="A964" s="7"/>
      <c r="C964" t="str">
        <f>IFERROR(VLOOKUP(B964,'Commission Rates'!$A:$C,2,FALSE),"")</f>
        <v/>
      </c>
      <c r="E964" s="8">
        <f>IFERROR(VLOOKUP(B964,'Commission Rates'!$A:$C,3,FALSE),0)</f>
        <v>0</v>
      </c>
      <c r="F964" s="8" t="str">
        <f>IF(B964="","",D964*E964)</f>
        <v/>
      </c>
      <c r="H964" t="str">
        <f>IF(A964="","",WEEKNUM(A964,1))</f>
        <v/>
      </c>
      <c r="I964" t="str">
        <f>IFERROR(INDEX('Pay Calendar'!$B$2:$B$10,MATCH(H964,'Pay Calendar'!$A$2:$A$10,0)),"")</f>
        <v/>
      </c>
    </row>
    <row r="965" spans="1:9" x14ac:dyDescent="0.2">
      <c r="A965" s="7"/>
      <c r="C965" t="str">
        <f>IFERROR(VLOOKUP(B965,'Commission Rates'!$A:$C,2,FALSE),"")</f>
        <v/>
      </c>
      <c r="E965" s="8">
        <f>IFERROR(VLOOKUP(B965,'Commission Rates'!$A:$C,3,FALSE),0)</f>
        <v>0</v>
      </c>
      <c r="F965" s="8" t="str">
        <f>IF(B965="","",D965*E965)</f>
        <v/>
      </c>
      <c r="H965" t="str">
        <f>IF(A965="","",WEEKNUM(A965,1))</f>
        <v/>
      </c>
      <c r="I965" t="str">
        <f>IFERROR(INDEX('Pay Calendar'!$B$2:$B$10,MATCH(H965,'Pay Calendar'!$A$2:$A$10,0)),"")</f>
        <v/>
      </c>
    </row>
    <row r="966" spans="1:9" x14ac:dyDescent="0.2">
      <c r="A966" s="7"/>
      <c r="C966" t="str">
        <f>IFERROR(VLOOKUP(B966,'Commission Rates'!$A:$C,2,FALSE),"")</f>
        <v/>
      </c>
      <c r="E966" s="8">
        <f>IFERROR(VLOOKUP(B966,'Commission Rates'!$A:$C,3,FALSE),0)</f>
        <v>0</v>
      </c>
      <c r="F966" s="8" t="str">
        <f>IF(B966="","",D966*E966)</f>
        <v/>
      </c>
      <c r="H966" t="str">
        <f>IF(A966="","",WEEKNUM(A966,1))</f>
        <v/>
      </c>
      <c r="I966" t="str">
        <f>IFERROR(INDEX('Pay Calendar'!$B$2:$B$10,MATCH(H966,'Pay Calendar'!$A$2:$A$10,0)),"")</f>
        <v/>
      </c>
    </row>
    <row r="967" spans="1:9" x14ac:dyDescent="0.2">
      <c r="A967" s="7"/>
      <c r="C967" t="str">
        <f>IFERROR(VLOOKUP(B967,'Commission Rates'!$A:$C,2,FALSE),"")</f>
        <v/>
      </c>
      <c r="E967" s="8">
        <f>IFERROR(VLOOKUP(B967,'Commission Rates'!$A:$C,3,FALSE),0)</f>
        <v>0</v>
      </c>
      <c r="F967" s="8" t="str">
        <f>IF(B967="","",D967*E967)</f>
        <v/>
      </c>
      <c r="H967" t="str">
        <f>IF(A967="","",WEEKNUM(A967,1))</f>
        <v/>
      </c>
      <c r="I967" t="str">
        <f>IFERROR(INDEX('Pay Calendar'!$B$2:$B$10,MATCH(H967,'Pay Calendar'!$A$2:$A$10,0)),"")</f>
        <v/>
      </c>
    </row>
    <row r="968" spans="1:9" x14ac:dyDescent="0.2">
      <c r="A968" s="7"/>
      <c r="C968" t="str">
        <f>IFERROR(VLOOKUP(B968,'Commission Rates'!$A:$C,2,FALSE),"")</f>
        <v/>
      </c>
      <c r="E968" s="8">
        <f>IFERROR(VLOOKUP(B968,'Commission Rates'!$A:$C,3,FALSE),0)</f>
        <v>0</v>
      </c>
      <c r="F968" s="8" t="str">
        <f>IF(B968="","",D968*E968)</f>
        <v/>
      </c>
      <c r="H968" t="str">
        <f>IF(A968="","",WEEKNUM(A968,1))</f>
        <v/>
      </c>
      <c r="I968" t="str">
        <f>IFERROR(INDEX('Pay Calendar'!$B$2:$B$10,MATCH(H968,'Pay Calendar'!$A$2:$A$10,0)),"")</f>
        <v/>
      </c>
    </row>
    <row r="969" spans="1:9" x14ac:dyDescent="0.2">
      <c r="A969" s="7"/>
      <c r="C969" t="str">
        <f>IFERROR(VLOOKUP(B969,'Commission Rates'!$A:$C,2,FALSE),"")</f>
        <v/>
      </c>
      <c r="E969" s="8">
        <f>IFERROR(VLOOKUP(B969,'Commission Rates'!$A:$C,3,FALSE),0)</f>
        <v>0</v>
      </c>
      <c r="F969" s="8" t="str">
        <f>IF(B969="","",D969*E969)</f>
        <v/>
      </c>
      <c r="H969" t="str">
        <f>IF(A969="","",WEEKNUM(A969,1))</f>
        <v/>
      </c>
      <c r="I969" t="str">
        <f>IFERROR(INDEX('Pay Calendar'!$B$2:$B$10,MATCH(H969,'Pay Calendar'!$A$2:$A$10,0)),"")</f>
        <v/>
      </c>
    </row>
    <row r="970" spans="1:9" x14ac:dyDescent="0.2">
      <c r="A970" s="7"/>
      <c r="C970" t="str">
        <f>IFERROR(VLOOKUP(B970,'Commission Rates'!$A:$C,2,FALSE),"")</f>
        <v/>
      </c>
      <c r="E970" s="8">
        <f>IFERROR(VLOOKUP(B970,'Commission Rates'!$A:$C,3,FALSE),0)</f>
        <v>0</v>
      </c>
      <c r="F970" s="8" t="str">
        <f>IF(B970="","",D970*E970)</f>
        <v/>
      </c>
      <c r="H970" t="str">
        <f>IF(A970="","",WEEKNUM(A970,1))</f>
        <v/>
      </c>
      <c r="I970" t="str">
        <f>IFERROR(INDEX('Pay Calendar'!$B$2:$B$10,MATCH(H970,'Pay Calendar'!$A$2:$A$10,0)),"")</f>
        <v/>
      </c>
    </row>
    <row r="971" spans="1:9" x14ac:dyDescent="0.2">
      <c r="A971" s="7"/>
      <c r="C971" t="str">
        <f>IFERROR(VLOOKUP(B971,'Commission Rates'!$A:$C,2,FALSE),"")</f>
        <v/>
      </c>
      <c r="E971" s="8">
        <f>IFERROR(VLOOKUP(B971,'Commission Rates'!$A:$C,3,FALSE),0)</f>
        <v>0</v>
      </c>
      <c r="F971" s="8" t="str">
        <f>IF(B971="","",D971*E971)</f>
        <v/>
      </c>
      <c r="H971" t="str">
        <f>IF(A971="","",WEEKNUM(A971,1))</f>
        <v/>
      </c>
      <c r="I971" t="str">
        <f>IFERROR(INDEX('Pay Calendar'!$B$2:$B$10,MATCH(H971,'Pay Calendar'!$A$2:$A$10,0)),"")</f>
        <v/>
      </c>
    </row>
    <row r="972" spans="1:9" x14ac:dyDescent="0.2">
      <c r="A972" s="7"/>
      <c r="C972" t="str">
        <f>IFERROR(VLOOKUP(B972,'Commission Rates'!$A:$C,2,FALSE),"")</f>
        <v/>
      </c>
      <c r="E972" s="8">
        <f>IFERROR(VLOOKUP(B972,'Commission Rates'!$A:$C,3,FALSE),0)</f>
        <v>0</v>
      </c>
      <c r="F972" s="8" t="str">
        <f>IF(B972="","",D972*E972)</f>
        <v/>
      </c>
      <c r="H972" t="str">
        <f>IF(A972="","",WEEKNUM(A972,1))</f>
        <v/>
      </c>
      <c r="I972" t="str">
        <f>IFERROR(INDEX('Pay Calendar'!$B$2:$B$10,MATCH(H972,'Pay Calendar'!$A$2:$A$10,0)),"")</f>
        <v/>
      </c>
    </row>
    <row r="973" spans="1:9" x14ac:dyDescent="0.2">
      <c r="A973" s="7"/>
      <c r="C973" t="str">
        <f>IFERROR(VLOOKUP(B973,'Commission Rates'!$A:$C,2,FALSE),"")</f>
        <v/>
      </c>
      <c r="E973" s="8">
        <f>IFERROR(VLOOKUP(B973,'Commission Rates'!$A:$C,3,FALSE),0)</f>
        <v>0</v>
      </c>
      <c r="F973" s="8" t="str">
        <f>IF(B973="","",D973*E973)</f>
        <v/>
      </c>
      <c r="H973" t="str">
        <f>IF(A973="","",WEEKNUM(A973,1))</f>
        <v/>
      </c>
      <c r="I973" t="str">
        <f>IFERROR(INDEX('Pay Calendar'!$B$2:$B$10,MATCH(H973,'Pay Calendar'!$A$2:$A$10,0)),"")</f>
        <v/>
      </c>
    </row>
    <row r="974" spans="1:9" x14ac:dyDescent="0.2">
      <c r="A974" s="7"/>
      <c r="C974" t="str">
        <f>IFERROR(VLOOKUP(B974,'Commission Rates'!$A:$C,2,FALSE),"")</f>
        <v/>
      </c>
      <c r="E974" s="8">
        <f>IFERROR(VLOOKUP(B974,'Commission Rates'!$A:$C,3,FALSE),0)</f>
        <v>0</v>
      </c>
      <c r="F974" s="8" t="str">
        <f>IF(B974="","",D974*E974)</f>
        <v/>
      </c>
      <c r="H974" t="str">
        <f>IF(A974="","",WEEKNUM(A974,1))</f>
        <v/>
      </c>
      <c r="I974" t="str">
        <f>IFERROR(INDEX('Pay Calendar'!$B$2:$B$10,MATCH(H974,'Pay Calendar'!$A$2:$A$10,0)),"")</f>
        <v/>
      </c>
    </row>
    <row r="975" spans="1:9" x14ac:dyDescent="0.2">
      <c r="A975" s="7"/>
      <c r="C975" t="str">
        <f>IFERROR(VLOOKUP(B975,'Commission Rates'!$A:$C,2,FALSE),"")</f>
        <v/>
      </c>
      <c r="E975" s="8">
        <f>IFERROR(VLOOKUP(B975,'Commission Rates'!$A:$C,3,FALSE),0)</f>
        <v>0</v>
      </c>
      <c r="F975" s="8" t="str">
        <f>IF(B975="","",D975*E975)</f>
        <v/>
      </c>
      <c r="H975" t="str">
        <f>IF(A975="","",WEEKNUM(A975,1))</f>
        <v/>
      </c>
      <c r="I975" t="str">
        <f>IFERROR(INDEX('Pay Calendar'!$B$2:$B$10,MATCH(H975,'Pay Calendar'!$A$2:$A$10,0)),"")</f>
        <v/>
      </c>
    </row>
    <row r="976" spans="1:9" x14ac:dyDescent="0.2">
      <c r="A976" s="7"/>
      <c r="C976" t="str">
        <f>IFERROR(VLOOKUP(B976,'Commission Rates'!$A:$C,2,FALSE),"")</f>
        <v/>
      </c>
      <c r="E976" s="8">
        <f>IFERROR(VLOOKUP(B976,'Commission Rates'!$A:$C,3,FALSE),0)</f>
        <v>0</v>
      </c>
      <c r="F976" s="8" t="str">
        <f>IF(B976="","",D976*E976)</f>
        <v/>
      </c>
      <c r="H976" t="str">
        <f>IF(A976="","",WEEKNUM(A976,1))</f>
        <v/>
      </c>
      <c r="I976" t="str">
        <f>IFERROR(INDEX('Pay Calendar'!$B$2:$B$10,MATCH(H976,'Pay Calendar'!$A$2:$A$10,0)),"")</f>
        <v/>
      </c>
    </row>
    <row r="977" spans="1:9" x14ac:dyDescent="0.2">
      <c r="A977" s="7"/>
      <c r="C977" t="str">
        <f>IFERROR(VLOOKUP(B977,'Commission Rates'!$A:$C,2,FALSE),"")</f>
        <v/>
      </c>
      <c r="E977" s="8">
        <f>IFERROR(VLOOKUP(B977,'Commission Rates'!$A:$C,3,FALSE),0)</f>
        <v>0</v>
      </c>
      <c r="F977" s="8" t="str">
        <f>IF(B977="","",D977*E977)</f>
        <v/>
      </c>
      <c r="H977" t="str">
        <f>IF(A977="","",WEEKNUM(A977,1))</f>
        <v/>
      </c>
      <c r="I977" t="str">
        <f>IFERROR(INDEX('Pay Calendar'!$B$2:$B$10,MATCH(H977,'Pay Calendar'!$A$2:$A$10,0)),"")</f>
        <v/>
      </c>
    </row>
    <row r="978" spans="1:9" x14ac:dyDescent="0.2">
      <c r="A978" s="7"/>
      <c r="C978" t="str">
        <f>IFERROR(VLOOKUP(B978,'Commission Rates'!$A:$C,2,FALSE),"")</f>
        <v/>
      </c>
      <c r="E978" s="8">
        <f>IFERROR(VLOOKUP(B978,'Commission Rates'!$A:$C,3,FALSE),0)</f>
        <v>0</v>
      </c>
      <c r="F978" s="8" t="str">
        <f>IF(B978="","",D978*E978)</f>
        <v/>
      </c>
      <c r="H978" t="str">
        <f>IF(A978="","",WEEKNUM(A978,1))</f>
        <v/>
      </c>
      <c r="I978" t="str">
        <f>IFERROR(INDEX('Pay Calendar'!$B$2:$B$10,MATCH(H978,'Pay Calendar'!$A$2:$A$10,0)),"")</f>
        <v/>
      </c>
    </row>
    <row r="979" spans="1:9" x14ac:dyDescent="0.2">
      <c r="A979" s="7"/>
      <c r="C979" t="str">
        <f>IFERROR(VLOOKUP(B979,'Commission Rates'!$A:$C,2,FALSE),"")</f>
        <v/>
      </c>
      <c r="E979" s="8">
        <f>IFERROR(VLOOKUP(B979,'Commission Rates'!$A:$C,3,FALSE),0)</f>
        <v>0</v>
      </c>
      <c r="F979" s="8" t="str">
        <f>IF(B979="","",D979*E979)</f>
        <v/>
      </c>
      <c r="H979" t="str">
        <f>IF(A979="","",WEEKNUM(A979,1))</f>
        <v/>
      </c>
      <c r="I979" t="str">
        <f>IFERROR(INDEX('Pay Calendar'!$B$2:$B$10,MATCH(H979,'Pay Calendar'!$A$2:$A$10,0)),"")</f>
        <v/>
      </c>
    </row>
    <row r="980" spans="1:9" x14ac:dyDescent="0.2">
      <c r="A980" s="7"/>
      <c r="C980" t="str">
        <f>IFERROR(VLOOKUP(B980,'Commission Rates'!$A:$C,2,FALSE),"")</f>
        <v/>
      </c>
      <c r="E980" s="8">
        <f>IFERROR(VLOOKUP(B980,'Commission Rates'!$A:$C,3,FALSE),0)</f>
        <v>0</v>
      </c>
      <c r="F980" s="8" t="str">
        <f>IF(B980="","",D980*E980)</f>
        <v/>
      </c>
      <c r="H980" t="str">
        <f>IF(A980="","",WEEKNUM(A980,1))</f>
        <v/>
      </c>
      <c r="I980" t="str">
        <f>IFERROR(INDEX('Pay Calendar'!$B$2:$B$10,MATCH(H980,'Pay Calendar'!$A$2:$A$10,0)),"")</f>
        <v/>
      </c>
    </row>
    <row r="981" spans="1:9" x14ac:dyDescent="0.2">
      <c r="A981" s="7"/>
      <c r="C981" t="str">
        <f>IFERROR(VLOOKUP(B981,'Commission Rates'!$A:$C,2,FALSE),"")</f>
        <v/>
      </c>
      <c r="E981" s="8">
        <f>IFERROR(VLOOKUP(B981,'Commission Rates'!$A:$C,3,FALSE),0)</f>
        <v>0</v>
      </c>
      <c r="F981" s="8" t="str">
        <f>IF(B981="","",D981*E981)</f>
        <v/>
      </c>
      <c r="H981" t="str">
        <f>IF(A981="","",WEEKNUM(A981,1))</f>
        <v/>
      </c>
      <c r="I981" t="str">
        <f>IFERROR(INDEX('Pay Calendar'!$B$2:$B$10,MATCH(H981,'Pay Calendar'!$A$2:$A$10,0)),"")</f>
        <v/>
      </c>
    </row>
    <row r="982" spans="1:9" x14ac:dyDescent="0.2">
      <c r="A982" s="7"/>
      <c r="C982" t="str">
        <f>IFERROR(VLOOKUP(B982,'Commission Rates'!$A:$C,2,FALSE),"")</f>
        <v/>
      </c>
      <c r="E982" s="8">
        <f>IFERROR(VLOOKUP(B982,'Commission Rates'!$A:$C,3,FALSE),0)</f>
        <v>0</v>
      </c>
      <c r="F982" s="8" t="str">
        <f>IF(B982="","",D982*E982)</f>
        <v/>
      </c>
      <c r="H982" t="str">
        <f>IF(A982="","",WEEKNUM(A982,1))</f>
        <v/>
      </c>
      <c r="I982" t="str">
        <f>IFERROR(INDEX('Pay Calendar'!$B$2:$B$10,MATCH(H982,'Pay Calendar'!$A$2:$A$10,0)),"")</f>
        <v/>
      </c>
    </row>
    <row r="983" spans="1:9" x14ac:dyDescent="0.2">
      <c r="A983" s="7"/>
      <c r="C983" t="str">
        <f>IFERROR(VLOOKUP(B983,'Commission Rates'!$A:$C,2,FALSE),"")</f>
        <v/>
      </c>
      <c r="E983" s="8">
        <f>IFERROR(VLOOKUP(B983,'Commission Rates'!$A:$C,3,FALSE),0)</f>
        <v>0</v>
      </c>
      <c r="F983" s="8" t="str">
        <f>IF(B983="","",D983*E983)</f>
        <v/>
      </c>
      <c r="H983" t="str">
        <f>IF(A983="","",WEEKNUM(A983,1))</f>
        <v/>
      </c>
      <c r="I983" t="str">
        <f>IFERROR(INDEX('Pay Calendar'!$B$2:$B$10,MATCH(H983,'Pay Calendar'!$A$2:$A$10,0)),"")</f>
        <v/>
      </c>
    </row>
    <row r="984" spans="1:9" x14ac:dyDescent="0.2">
      <c r="A984" s="7"/>
      <c r="C984" t="str">
        <f>IFERROR(VLOOKUP(B984,'Commission Rates'!$A:$C,2,FALSE),"")</f>
        <v/>
      </c>
      <c r="E984" s="8">
        <f>IFERROR(VLOOKUP(B984,'Commission Rates'!$A:$C,3,FALSE),0)</f>
        <v>0</v>
      </c>
      <c r="F984" s="8" t="str">
        <f>IF(B984="","",D984*E984)</f>
        <v/>
      </c>
      <c r="H984" t="str">
        <f>IF(A984="","",WEEKNUM(A984,1))</f>
        <v/>
      </c>
      <c r="I984" t="str">
        <f>IFERROR(INDEX('Pay Calendar'!$B$2:$B$10,MATCH(H984,'Pay Calendar'!$A$2:$A$10,0)),"")</f>
        <v/>
      </c>
    </row>
    <row r="985" spans="1:9" x14ac:dyDescent="0.2">
      <c r="A985" s="7"/>
      <c r="C985" t="str">
        <f>IFERROR(VLOOKUP(B985,'Commission Rates'!$A:$C,2,FALSE),"")</f>
        <v/>
      </c>
      <c r="E985" s="8">
        <f>IFERROR(VLOOKUP(B985,'Commission Rates'!$A:$C,3,FALSE),0)</f>
        <v>0</v>
      </c>
      <c r="F985" s="8" t="str">
        <f>IF(B985="","",D985*E985)</f>
        <v/>
      </c>
      <c r="H985" t="str">
        <f>IF(A985="","",WEEKNUM(A985,1))</f>
        <v/>
      </c>
      <c r="I985" t="str">
        <f>IFERROR(INDEX('Pay Calendar'!$B$2:$B$10,MATCH(H985,'Pay Calendar'!$A$2:$A$10,0)),"")</f>
        <v/>
      </c>
    </row>
    <row r="986" spans="1:9" x14ac:dyDescent="0.2">
      <c r="A986" s="7"/>
      <c r="C986" t="str">
        <f>IFERROR(VLOOKUP(B986,'Commission Rates'!$A:$C,2,FALSE),"")</f>
        <v/>
      </c>
      <c r="E986" s="8">
        <f>IFERROR(VLOOKUP(B986,'Commission Rates'!$A:$C,3,FALSE),0)</f>
        <v>0</v>
      </c>
      <c r="F986" s="8" t="str">
        <f>IF(B986="","",D986*E986)</f>
        <v/>
      </c>
      <c r="H986" t="str">
        <f>IF(A986="","",WEEKNUM(A986,1))</f>
        <v/>
      </c>
      <c r="I986" t="str">
        <f>IFERROR(INDEX('Pay Calendar'!$B$2:$B$10,MATCH(H986,'Pay Calendar'!$A$2:$A$10,0)),"")</f>
        <v/>
      </c>
    </row>
    <row r="987" spans="1:9" x14ac:dyDescent="0.2">
      <c r="A987" s="7"/>
      <c r="C987" t="str">
        <f>IFERROR(VLOOKUP(B987,'Commission Rates'!$A:$C,2,FALSE),"")</f>
        <v/>
      </c>
      <c r="E987" s="8">
        <f>IFERROR(VLOOKUP(B987,'Commission Rates'!$A:$C,3,FALSE),0)</f>
        <v>0</v>
      </c>
      <c r="F987" s="8" t="str">
        <f>IF(B987="","",D987*E987)</f>
        <v/>
      </c>
      <c r="H987" t="str">
        <f>IF(A987="","",WEEKNUM(A987,1))</f>
        <v/>
      </c>
      <c r="I987" t="str">
        <f>IFERROR(INDEX('Pay Calendar'!$B$2:$B$10,MATCH(H987,'Pay Calendar'!$A$2:$A$10,0)),"")</f>
        <v/>
      </c>
    </row>
    <row r="988" spans="1:9" x14ac:dyDescent="0.2">
      <c r="A988" s="7"/>
      <c r="C988" t="str">
        <f>IFERROR(VLOOKUP(B988,'Commission Rates'!$A:$C,2,FALSE),"")</f>
        <v/>
      </c>
      <c r="E988" s="8">
        <f>IFERROR(VLOOKUP(B988,'Commission Rates'!$A:$C,3,FALSE),0)</f>
        <v>0</v>
      </c>
      <c r="F988" s="8" t="str">
        <f>IF(B988="","",D988*E988)</f>
        <v/>
      </c>
      <c r="H988" t="str">
        <f>IF(A988="","",WEEKNUM(A988,1))</f>
        <v/>
      </c>
      <c r="I988" t="str">
        <f>IFERROR(INDEX('Pay Calendar'!$B$2:$B$10,MATCH(H988,'Pay Calendar'!$A$2:$A$10,0)),"")</f>
        <v/>
      </c>
    </row>
    <row r="989" spans="1:9" x14ac:dyDescent="0.2">
      <c r="A989" s="7"/>
      <c r="C989" t="str">
        <f>IFERROR(VLOOKUP(B989,'Commission Rates'!$A:$C,2,FALSE),"")</f>
        <v/>
      </c>
      <c r="E989" s="8">
        <f>IFERROR(VLOOKUP(B989,'Commission Rates'!$A:$C,3,FALSE),0)</f>
        <v>0</v>
      </c>
      <c r="F989" s="8" t="str">
        <f>IF(B989="","",D989*E989)</f>
        <v/>
      </c>
      <c r="H989" t="str">
        <f>IF(A989="","",WEEKNUM(A989,1))</f>
        <v/>
      </c>
      <c r="I989" t="str">
        <f>IFERROR(INDEX('Pay Calendar'!$B$2:$B$10,MATCH(H989,'Pay Calendar'!$A$2:$A$10,0)),"")</f>
        <v/>
      </c>
    </row>
    <row r="990" spans="1:9" x14ac:dyDescent="0.2">
      <c r="A990" s="7"/>
      <c r="C990" t="str">
        <f>IFERROR(VLOOKUP(B990,'Commission Rates'!$A:$C,2,FALSE),"")</f>
        <v/>
      </c>
      <c r="E990" s="8">
        <f>IFERROR(VLOOKUP(B990,'Commission Rates'!$A:$C,3,FALSE),0)</f>
        <v>0</v>
      </c>
      <c r="F990" s="8" t="str">
        <f>IF(B990="","",D990*E990)</f>
        <v/>
      </c>
      <c r="H990" t="str">
        <f>IF(A990="","",WEEKNUM(A990,1))</f>
        <v/>
      </c>
      <c r="I990" t="str">
        <f>IFERROR(INDEX('Pay Calendar'!$B$2:$B$10,MATCH(H990,'Pay Calendar'!$A$2:$A$10,0)),"")</f>
        <v/>
      </c>
    </row>
    <row r="991" spans="1:9" x14ac:dyDescent="0.2">
      <c r="A991" s="7"/>
      <c r="C991" t="str">
        <f>IFERROR(VLOOKUP(B991,'Commission Rates'!$A:$C,2,FALSE),"")</f>
        <v/>
      </c>
      <c r="E991" s="8">
        <f>IFERROR(VLOOKUP(B991,'Commission Rates'!$A:$C,3,FALSE),0)</f>
        <v>0</v>
      </c>
      <c r="F991" s="8" t="str">
        <f>IF(B991="","",D991*E991)</f>
        <v/>
      </c>
      <c r="H991" t="str">
        <f>IF(A991="","",WEEKNUM(A991,1))</f>
        <v/>
      </c>
      <c r="I991" t="str">
        <f>IFERROR(INDEX('Pay Calendar'!$B$2:$B$10,MATCH(H991,'Pay Calendar'!$A$2:$A$10,0)),"")</f>
        <v/>
      </c>
    </row>
    <row r="992" spans="1:9" x14ac:dyDescent="0.2">
      <c r="A992" s="7"/>
      <c r="C992" t="str">
        <f>IFERROR(VLOOKUP(B992,'Commission Rates'!$A:$C,2,FALSE),"")</f>
        <v/>
      </c>
      <c r="E992" s="8">
        <f>IFERROR(VLOOKUP(B992,'Commission Rates'!$A:$C,3,FALSE),0)</f>
        <v>0</v>
      </c>
      <c r="F992" s="8" t="str">
        <f>IF(B992="","",D992*E992)</f>
        <v/>
      </c>
      <c r="H992" t="str">
        <f>IF(A992="","",WEEKNUM(A992,1))</f>
        <v/>
      </c>
      <c r="I992" t="str">
        <f>IFERROR(INDEX('Pay Calendar'!$B$2:$B$10,MATCH(H992,'Pay Calendar'!$A$2:$A$10,0)),"")</f>
        <v/>
      </c>
    </row>
    <row r="993" spans="1:9" x14ac:dyDescent="0.2">
      <c r="A993" s="7"/>
      <c r="C993" t="str">
        <f>IFERROR(VLOOKUP(B993,'Commission Rates'!$A:$C,2,FALSE),"")</f>
        <v/>
      </c>
      <c r="E993" s="8">
        <f>IFERROR(VLOOKUP(B993,'Commission Rates'!$A:$C,3,FALSE),0)</f>
        <v>0</v>
      </c>
      <c r="F993" s="8" t="str">
        <f>IF(B993="","",D993*E993)</f>
        <v/>
      </c>
      <c r="H993" t="str">
        <f>IF(A993="","",WEEKNUM(A993,1))</f>
        <v/>
      </c>
      <c r="I993" t="str">
        <f>IFERROR(INDEX('Pay Calendar'!$B$2:$B$10,MATCH(H993,'Pay Calendar'!$A$2:$A$10,0)),"")</f>
        <v/>
      </c>
    </row>
    <row r="994" spans="1:9" x14ac:dyDescent="0.2">
      <c r="A994" s="7"/>
      <c r="C994" t="str">
        <f>IFERROR(VLOOKUP(B994,'Commission Rates'!$A:$C,2,FALSE),"")</f>
        <v/>
      </c>
      <c r="E994" s="8">
        <f>IFERROR(VLOOKUP(B994,'Commission Rates'!$A:$C,3,FALSE),0)</f>
        <v>0</v>
      </c>
      <c r="F994" s="8" t="str">
        <f>IF(B994="","",D994*E994)</f>
        <v/>
      </c>
      <c r="H994" t="str">
        <f>IF(A994="","",WEEKNUM(A994,1))</f>
        <v/>
      </c>
      <c r="I994" t="str">
        <f>IFERROR(INDEX('Pay Calendar'!$B$2:$B$10,MATCH(H994,'Pay Calendar'!$A$2:$A$10,0)),"")</f>
        <v/>
      </c>
    </row>
    <row r="995" spans="1:9" x14ac:dyDescent="0.2">
      <c r="A995" s="7"/>
      <c r="C995" t="str">
        <f>IFERROR(VLOOKUP(B995,'Commission Rates'!$A:$C,2,FALSE),"")</f>
        <v/>
      </c>
      <c r="E995" s="8">
        <f>IFERROR(VLOOKUP(B995,'Commission Rates'!$A:$C,3,FALSE),0)</f>
        <v>0</v>
      </c>
      <c r="F995" s="8" t="str">
        <f>IF(B995="","",D995*E995)</f>
        <v/>
      </c>
      <c r="H995" t="str">
        <f>IF(A995="","",WEEKNUM(A995,1))</f>
        <v/>
      </c>
      <c r="I995" t="str">
        <f>IFERROR(INDEX('Pay Calendar'!$B$2:$B$10,MATCH(H995,'Pay Calendar'!$A$2:$A$10,0)),"")</f>
        <v/>
      </c>
    </row>
    <row r="996" spans="1:9" x14ac:dyDescent="0.2">
      <c r="A996" s="7"/>
      <c r="C996" t="str">
        <f>IFERROR(VLOOKUP(B996,'Commission Rates'!$A:$C,2,FALSE),"")</f>
        <v/>
      </c>
      <c r="E996" s="8">
        <f>IFERROR(VLOOKUP(B996,'Commission Rates'!$A:$C,3,FALSE),0)</f>
        <v>0</v>
      </c>
      <c r="F996" s="8" t="str">
        <f>IF(B996="","",D996*E996)</f>
        <v/>
      </c>
      <c r="H996" t="str">
        <f>IF(A996="","",WEEKNUM(A996,1))</f>
        <v/>
      </c>
      <c r="I996" t="str">
        <f>IFERROR(INDEX('Pay Calendar'!$B$2:$B$10,MATCH(H996,'Pay Calendar'!$A$2:$A$10,0)),"")</f>
        <v/>
      </c>
    </row>
    <row r="997" spans="1:9" x14ac:dyDescent="0.2">
      <c r="A997" s="7"/>
      <c r="C997" t="str">
        <f>IFERROR(VLOOKUP(B997,'Commission Rates'!$A:$C,2,FALSE),"")</f>
        <v/>
      </c>
      <c r="E997" s="8">
        <f>IFERROR(VLOOKUP(B997,'Commission Rates'!$A:$C,3,FALSE),0)</f>
        <v>0</v>
      </c>
      <c r="F997" s="8" t="str">
        <f>IF(B997="","",D997*E997)</f>
        <v/>
      </c>
      <c r="H997" t="str">
        <f>IF(A997="","",WEEKNUM(A997,1))</f>
        <v/>
      </c>
      <c r="I997" t="str">
        <f>IFERROR(INDEX('Pay Calendar'!$B$2:$B$10,MATCH(H997,'Pay Calendar'!$A$2:$A$10,0)),"")</f>
        <v/>
      </c>
    </row>
    <row r="998" spans="1:9" x14ac:dyDescent="0.2">
      <c r="A998" s="7"/>
      <c r="C998" t="str">
        <f>IFERROR(VLOOKUP(B998,'Commission Rates'!$A:$C,2,FALSE),"")</f>
        <v/>
      </c>
      <c r="E998" s="8">
        <f>IFERROR(VLOOKUP(B998,'Commission Rates'!$A:$C,3,FALSE),0)</f>
        <v>0</v>
      </c>
      <c r="F998" s="8" t="str">
        <f>IF(B998="","",D998*E998)</f>
        <v/>
      </c>
      <c r="H998" t="str">
        <f>IF(A998="","",WEEKNUM(A998,1))</f>
        <v/>
      </c>
      <c r="I998" t="str">
        <f>IFERROR(INDEX('Pay Calendar'!$B$2:$B$10,MATCH(H998,'Pay Calendar'!$A$2:$A$10,0)),"")</f>
        <v/>
      </c>
    </row>
    <row r="999" spans="1:9" x14ac:dyDescent="0.2">
      <c r="A999" s="7"/>
      <c r="C999" t="str">
        <f>IFERROR(VLOOKUP(B999,'Commission Rates'!$A:$C,2,FALSE),"")</f>
        <v/>
      </c>
      <c r="E999" s="8">
        <f>IFERROR(VLOOKUP(B999,'Commission Rates'!$A:$C,3,FALSE),0)</f>
        <v>0</v>
      </c>
      <c r="F999" s="8" t="str">
        <f>IF(B999="","",D999*E999)</f>
        <v/>
      </c>
      <c r="H999" t="str">
        <f>IF(A999="","",WEEKNUM(A999,1))</f>
        <v/>
      </c>
      <c r="I999" t="str">
        <f>IFERROR(INDEX('Pay Calendar'!$B$2:$B$10,MATCH(H999,'Pay Calendar'!$A$2:$A$10,0)),"")</f>
        <v/>
      </c>
    </row>
    <row r="1000" spans="1:9" x14ac:dyDescent="0.2">
      <c r="A1000" s="7"/>
      <c r="C1000" t="str">
        <f>IFERROR(VLOOKUP(B1000,'Commission Rates'!$A:$C,2,FALSE),"")</f>
        <v/>
      </c>
      <c r="E1000" s="8">
        <f>IFERROR(VLOOKUP(B1000,'Commission Rates'!$A:$C,3,FALSE),0)</f>
        <v>0</v>
      </c>
      <c r="F1000" s="8" t="str">
        <f>IF(B1000="","",D1000*E1000)</f>
        <v/>
      </c>
      <c r="H1000" t="str">
        <f>IF(A1000="","",WEEKNUM(A1000,1))</f>
        <v/>
      </c>
      <c r="I1000" t="str">
        <f>IFERROR(INDEX('Pay Calendar'!$B$2:$B$10,MATCH(H1000,'Pay Calendar'!$A$2:$A$10,0)),"")</f>
        <v/>
      </c>
    </row>
  </sheetData>
  <autoFilter ref="A1:G1000" xr:uid="{00000000-0009-0000-0000-000000000000}">
    <sortState xmlns:xlrd2="http://schemas.microsoft.com/office/spreadsheetml/2017/richdata2" ref="A2:G1000">
      <sortCondition descending="1" ref="A1:A1000"/>
    </sortState>
  </autoFilter>
  <conditionalFormatting sqref="F2:F1000">
    <cfRule type="colorScale" priority="1">
      <colorScale>
        <cfvo type="min"/>
        <cfvo type="percentile" val="50"/>
        <cfvo type="max"/>
        <color rgb="FFFFFFFF"/>
        <color rgb="FFFFF2CC"/>
        <color rgb="FF63BE7B"/>
      </colorScale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'Commission Rates'!$A$2:$A$87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13.98828125" customWidth="1"/>
    <col min="3" max="3" width="18.0234375" customWidth="1"/>
  </cols>
  <sheetData>
    <row r="1" spans="1:3" x14ac:dyDescent="0.2">
      <c r="A1" s="2" t="s">
        <v>1</v>
      </c>
      <c r="B1" s="2" t="s">
        <v>2</v>
      </c>
      <c r="C1" s="2" t="s">
        <v>31</v>
      </c>
    </row>
    <row r="2" spans="1:3" x14ac:dyDescent="0.2">
      <c r="A2" t="s">
        <v>32</v>
      </c>
      <c r="B2" t="s">
        <v>11</v>
      </c>
      <c r="C2" s="8">
        <v>150</v>
      </c>
    </row>
    <row r="3" spans="1:3" x14ac:dyDescent="0.2">
      <c r="A3" t="s">
        <v>33</v>
      </c>
      <c r="B3" t="s">
        <v>11</v>
      </c>
      <c r="C3" s="8">
        <v>80</v>
      </c>
    </row>
    <row r="4" spans="1:3" x14ac:dyDescent="0.2">
      <c r="A4" t="s">
        <v>34</v>
      </c>
      <c r="B4" t="s">
        <v>11</v>
      </c>
      <c r="C4" s="8">
        <v>60</v>
      </c>
    </row>
    <row r="5" spans="1:3" x14ac:dyDescent="0.2">
      <c r="A5" t="s">
        <v>35</v>
      </c>
      <c r="B5" t="s">
        <v>11</v>
      </c>
      <c r="C5" s="8">
        <v>45</v>
      </c>
    </row>
    <row r="6" spans="1:3" x14ac:dyDescent="0.2">
      <c r="A6" t="s">
        <v>15</v>
      </c>
      <c r="B6" t="s">
        <v>11</v>
      </c>
      <c r="C6" s="8">
        <v>35</v>
      </c>
    </row>
    <row r="7" spans="1:3" x14ac:dyDescent="0.2">
      <c r="A7" t="s">
        <v>36</v>
      </c>
      <c r="B7" t="s">
        <v>11</v>
      </c>
      <c r="C7" s="8">
        <v>60</v>
      </c>
    </row>
    <row r="8" spans="1:3" x14ac:dyDescent="0.2">
      <c r="A8" t="s">
        <v>37</v>
      </c>
      <c r="B8" t="s">
        <v>11</v>
      </c>
      <c r="C8" s="8">
        <v>80</v>
      </c>
    </row>
    <row r="9" spans="1:3" x14ac:dyDescent="0.2">
      <c r="A9" t="s">
        <v>38</v>
      </c>
      <c r="B9" t="s">
        <v>11</v>
      </c>
      <c r="C9" s="8">
        <v>120</v>
      </c>
    </row>
    <row r="10" spans="1:3" x14ac:dyDescent="0.2">
      <c r="A10" t="s">
        <v>39</v>
      </c>
      <c r="B10" t="s">
        <v>11</v>
      </c>
      <c r="C10" s="8">
        <v>500</v>
      </c>
    </row>
    <row r="11" spans="1:3" x14ac:dyDescent="0.2">
      <c r="A11" t="s">
        <v>40</v>
      </c>
      <c r="B11" t="s">
        <v>11</v>
      </c>
      <c r="C11" s="8">
        <v>200</v>
      </c>
    </row>
    <row r="12" spans="1:3" x14ac:dyDescent="0.2">
      <c r="A12" t="s">
        <v>41</v>
      </c>
      <c r="B12" t="s">
        <v>11</v>
      </c>
      <c r="C12" s="8">
        <v>175</v>
      </c>
    </row>
    <row r="13" spans="1:3" x14ac:dyDescent="0.2">
      <c r="A13" t="s">
        <v>42</v>
      </c>
      <c r="B13" t="s">
        <v>11</v>
      </c>
      <c r="C13" s="8">
        <v>25</v>
      </c>
    </row>
    <row r="14" spans="1:3" x14ac:dyDescent="0.2">
      <c r="A14" t="s">
        <v>43</v>
      </c>
      <c r="B14" t="s">
        <v>11</v>
      </c>
      <c r="C14" s="8">
        <v>30</v>
      </c>
    </row>
    <row r="15" spans="1:3" x14ac:dyDescent="0.2">
      <c r="A15" t="s">
        <v>44</v>
      </c>
      <c r="B15" t="s">
        <v>11</v>
      </c>
      <c r="C15" s="8">
        <v>40</v>
      </c>
    </row>
    <row r="16" spans="1:3" x14ac:dyDescent="0.2">
      <c r="A16" t="s">
        <v>45</v>
      </c>
      <c r="B16" t="s">
        <v>11</v>
      </c>
      <c r="C16" s="8">
        <v>50</v>
      </c>
    </row>
    <row r="17" spans="1:3" x14ac:dyDescent="0.2">
      <c r="A17" t="s">
        <v>46</v>
      </c>
      <c r="B17" t="s">
        <v>11</v>
      </c>
      <c r="C17" s="8">
        <v>75</v>
      </c>
    </row>
    <row r="18" spans="1:3" x14ac:dyDescent="0.2">
      <c r="A18" t="s">
        <v>17</v>
      </c>
      <c r="B18" t="s">
        <v>11</v>
      </c>
      <c r="C18" s="8">
        <v>15</v>
      </c>
    </row>
    <row r="19" spans="1:3" x14ac:dyDescent="0.2">
      <c r="A19" t="s">
        <v>47</v>
      </c>
      <c r="B19" t="s">
        <v>11</v>
      </c>
      <c r="C19" s="8">
        <v>20</v>
      </c>
    </row>
    <row r="20" spans="1:3" x14ac:dyDescent="0.2">
      <c r="A20" t="s">
        <v>48</v>
      </c>
      <c r="B20" t="s">
        <v>11</v>
      </c>
      <c r="C20" s="8">
        <v>25</v>
      </c>
    </row>
    <row r="21" spans="1:3" x14ac:dyDescent="0.2">
      <c r="A21" t="s">
        <v>49</v>
      </c>
      <c r="B21" t="s">
        <v>11</v>
      </c>
      <c r="C21" s="8">
        <v>30</v>
      </c>
    </row>
    <row r="22" spans="1:3" x14ac:dyDescent="0.2">
      <c r="A22" t="s">
        <v>50</v>
      </c>
      <c r="B22" t="s">
        <v>11</v>
      </c>
      <c r="C22" s="8">
        <v>40</v>
      </c>
    </row>
    <row r="23" spans="1:3" x14ac:dyDescent="0.2">
      <c r="A23" t="s">
        <v>51</v>
      </c>
      <c r="B23" t="s">
        <v>11</v>
      </c>
      <c r="C23" s="8">
        <v>70</v>
      </c>
    </row>
    <row r="24" spans="1:3" x14ac:dyDescent="0.2">
      <c r="A24" t="s">
        <v>52</v>
      </c>
      <c r="B24" t="s">
        <v>11</v>
      </c>
      <c r="C24" s="8">
        <v>20</v>
      </c>
    </row>
    <row r="25" spans="1:3" x14ac:dyDescent="0.2">
      <c r="A25" t="s">
        <v>53</v>
      </c>
      <c r="B25" t="s">
        <v>11</v>
      </c>
      <c r="C25" s="8">
        <v>30</v>
      </c>
    </row>
    <row r="26" spans="1:3" x14ac:dyDescent="0.2">
      <c r="A26" t="s">
        <v>54</v>
      </c>
      <c r="B26" t="s">
        <v>11</v>
      </c>
      <c r="C26" s="8">
        <v>25</v>
      </c>
    </row>
    <row r="27" spans="1:3" x14ac:dyDescent="0.2">
      <c r="A27" t="s">
        <v>55</v>
      </c>
      <c r="B27" t="s">
        <v>11</v>
      </c>
      <c r="C27" s="8">
        <v>20</v>
      </c>
    </row>
    <row r="28" spans="1:3" x14ac:dyDescent="0.2">
      <c r="A28" t="s">
        <v>16</v>
      </c>
      <c r="B28" t="s">
        <v>11</v>
      </c>
      <c r="C28" s="8">
        <v>15</v>
      </c>
    </row>
    <row r="29" spans="1:3" x14ac:dyDescent="0.2">
      <c r="A29" t="s">
        <v>56</v>
      </c>
      <c r="B29" t="s">
        <v>11</v>
      </c>
      <c r="C29" s="8">
        <v>10</v>
      </c>
    </row>
    <row r="30" spans="1:3" x14ac:dyDescent="0.2">
      <c r="A30" t="s">
        <v>57</v>
      </c>
      <c r="B30" t="s">
        <v>11</v>
      </c>
      <c r="C30" s="8">
        <v>5</v>
      </c>
    </row>
    <row r="31" spans="1:3" x14ac:dyDescent="0.2">
      <c r="A31" t="s">
        <v>58</v>
      </c>
      <c r="B31" t="s">
        <v>11</v>
      </c>
      <c r="C31" s="8">
        <v>5</v>
      </c>
    </row>
    <row r="32" spans="1:3" x14ac:dyDescent="0.2">
      <c r="A32" t="s">
        <v>10</v>
      </c>
      <c r="B32" t="s">
        <v>11</v>
      </c>
      <c r="C32" s="8">
        <v>40</v>
      </c>
    </row>
    <row r="33" spans="1:3" x14ac:dyDescent="0.2">
      <c r="A33" t="s">
        <v>59</v>
      </c>
      <c r="B33" t="s">
        <v>11</v>
      </c>
      <c r="C33" s="8">
        <v>30</v>
      </c>
    </row>
    <row r="34" spans="1:3" x14ac:dyDescent="0.2">
      <c r="A34" t="s">
        <v>60</v>
      </c>
      <c r="B34" t="s">
        <v>11</v>
      </c>
      <c r="C34" s="8">
        <v>25</v>
      </c>
    </row>
    <row r="35" spans="1:3" x14ac:dyDescent="0.2">
      <c r="A35" t="s">
        <v>61</v>
      </c>
      <c r="B35" t="s">
        <v>11</v>
      </c>
      <c r="C35" s="8">
        <v>20</v>
      </c>
    </row>
    <row r="36" spans="1:3" x14ac:dyDescent="0.2">
      <c r="A36" t="s">
        <v>62</v>
      </c>
      <c r="B36" t="s">
        <v>11</v>
      </c>
      <c r="C36" s="8">
        <v>15</v>
      </c>
    </row>
    <row r="37" spans="1:3" x14ac:dyDescent="0.2">
      <c r="A37" t="s">
        <v>63</v>
      </c>
      <c r="B37" t="s">
        <v>11</v>
      </c>
      <c r="C37" s="8">
        <v>10</v>
      </c>
    </row>
    <row r="38" spans="1:3" x14ac:dyDescent="0.2">
      <c r="A38" t="s">
        <v>64</v>
      </c>
      <c r="B38" t="s">
        <v>11</v>
      </c>
      <c r="C38" s="8">
        <v>10</v>
      </c>
    </row>
    <row r="39" spans="1:3" x14ac:dyDescent="0.2">
      <c r="A39" t="s">
        <v>65</v>
      </c>
      <c r="B39" t="s">
        <v>11</v>
      </c>
      <c r="C39" s="8">
        <v>75</v>
      </c>
    </row>
    <row r="40" spans="1:3" x14ac:dyDescent="0.2">
      <c r="A40" t="s">
        <v>66</v>
      </c>
      <c r="B40" t="s">
        <v>11</v>
      </c>
      <c r="C40" s="8">
        <v>50</v>
      </c>
    </row>
    <row r="41" spans="1:3" x14ac:dyDescent="0.2">
      <c r="A41" t="s">
        <v>67</v>
      </c>
      <c r="B41" t="s">
        <v>11</v>
      </c>
      <c r="C41" s="8">
        <v>75</v>
      </c>
    </row>
    <row r="42" spans="1:3" x14ac:dyDescent="0.2">
      <c r="A42" t="s">
        <v>68</v>
      </c>
      <c r="B42" t="s">
        <v>11</v>
      </c>
      <c r="C42" s="8">
        <v>50</v>
      </c>
    </row>
    <row r="43" spans="1:3" x14ac:dyDescent="0.2">
      <c r="A43" t="s">
        <v>69</v>
      </c>
      <c r="B43" t="s">
        <v>11</v>
      </c>
      <c r="C43" s="8">
        <v>100</v>
      </c>
    </row>
    <row r="44" spans="1:3" x14ac:dyDescent="0.2">
      <c r="A44" t="s">
        <v>70</v>
      </c>
      <c r="B44" t="s">
        <v>13</v>
      </c>
      <c r="C44" s="8">
        <v>2</v>
      </c>
    </row>
    <row r="45" spans="1:3" x14ac:dyDescent="0.2">
      <c r="A45" t="s">
        <v>71</v>
      </c>
      <c r="B45" t="s">
        <v>13</v>
      </c>
      <c r="C45" s="8">
        <v>2</v>
      </c>
    </row>
    <row r="46" spans="1:3" x14ac:dyDescent="0.2">
      <c r="A46" t="s">
        <v>72</v>
      </c>
      <c r="B46" t="s">
        <v>13</v>
      </c>
      <c r="C46" s="8">
        <v>2</v>
      </c>
    </row>
    <row r="47" spans="1:3" x14ac:dyDescent="0.2">
      <c r="A47" t="s">
        <v>73</v>
      </c>
      <c r="B47" t="s">
        <v>13</v>
      </c>
      <c r="C47" s="8">
        <v>2</v>
      </c>
    </row>
    <row r="48" spans="1:3" x14ac:dyDescent="0.2">
      <c r="A48" t="s">
        <v>74</v>
      </c>
      <c r="B48" t="s">
        <v>13</v>
      </c>
      <c r="C48" s="8">
        <v>10</v>
      </c>
    </row>
    <row r="49" spans="1:3" x14ac:dyDescent="0.2">
      <c r="A49" t="s">
        <v>75</v>
      </c>
      <c r="B49" t="s">
        <v>13</v>
      </c>
      <c r="C49" s="8">
        <v>5</v>
      </c>
    </row>
    <row r="50" spans="1:3" x14ac:dyDescent="0.2">
      <c r="A50" t="s">
        <v>76</v>
      </c>
      <c r="B50" t="s">
        <v>13</v>
      </c>
      <c r="C50" s="8">
        <v>5</v>
      </c>
    </row>
    <row r="51" spans="1:3" x14ac:dyDescent="0.2">
      <c r="A51" t="s">
        <v>77</v>
      </c>
      <c r="B51" t="s">
        <v>13</v>
      </c>
      <c r="C51" s="8">
        <v>15</v>
      </c>
    </row>
    <row r="52" spans="1:3" x14ac:dyDescent="0.2">
      <c r="A52" t="s">
        <v>78</v>
      </c>
      <c r="B52" t="s">
        <v>13</v>
      </c>
      <c r="C52" s="8">
        <v>10</v>
      </c>
    </row>
    <row r="53" spans="1:3" x14ac:dyDescent="0.2">
      <c r="A53" t="s">
        <v>79</v>
      </c>
      <c r="B53" t="s">
        <v>13</v>
      </c>
      <c r="C53" s="8">
        <v>10</v>
      </c>
    </row>
    <row r="54" spans="1:3" x14ac:dyDescent="0.2">
      <c r="A54" t="s">
        <v>12</v>
      </c>
      <c r="B54" t="s">
        <v>13</v>
      </c>
      <c r="C54" s="8">
        <v>30</v>
      </c>
    </row>
    <row r="55" spans="1:3" x14ac:dyDescent="0.2">
      <c r="A55" t="s">
        <v>14</v>
      </c>
      <c r="B55" t="s">
        <v>11</v>
      </c>
      <c r="C55" s="8">
        <v>5</v>
      </c>
    </row>
    <row r="56" spans="1:3" x14ac:dyDescent="0.2">
      <c r="A56" t="s">
        <v>18</v>
      </c>
      <c r="B56" t="s">
        <v>11</v>
      </c>
      <c r="C56" s="8">
        <v>5</v>
      </c>
    </row>
    <row r="57" spans="1:3" x14ac:dyDescent="0.2">
      <c r="A57" t="s">
        <v>80</v>
      </c>
      <c r="B57" t="s">
        <v>11</v>
      </c>
      <c r="C57" s="8">
        <v>5</v>
      </c>
    </row>
    <row r="58" spans="1:3" x14ac:dyDescent="0.2">
      <c r="A58" t="s">
        <v>81</v>
      </c>
      <c r="B58" t="s">
        <v>11</v>
      </c>
      <c r="C58" s="8">
        <v>10</v>
      </c>
    </row>
    <row r="59" spans="1:3" x14ac:dyDescent="0.2">
      <c r="A59" t="s">
        <v>82</v>
      </c>
      <c r="B59" t="s">
        <v>11</v>
      </c>
      <c r="C59" s="8">
        <v>10</v>
      </c>
    </row>
    <row r="60" spans="1:3" x14ac:dyDescent="0.2">
      <c r="A60" t="s">
        <v>83</v>
      </c>
      <c r="B60" t="s">
        <v>11</v>
      </c>
      <c r="C60" s="8">
        <v>10</v>
      </c>
    </row>
    <row r="61" spans="1:3" x14ac:dyDescent="0.2">
      <c r="A61" t="s">
        <v>84</v>
      </c>
      <c r="B61" t="s">
        <v>11</v>
      </c>
      <c r="C61" s="8">
        <v>5</v>
      </c>
    </row>
    <row r="62" spans="1:3" x14ac:dyDescent="0.2">
      <c r="A62" t="s">
        <v>85</v>
      </c>
      <c r="B62" t="s">
        <v>11</v>
      </c>
      <c r="C62" s="8">
        <v>5</v>
      </c>
    </row>
    <row r="63" spans="1:3" x14ac:dyDescent="0.2">
      <c r="A63" t="s">
        <v>30</v>
      </c>
      <c r="B63" t="s">
        <v>11</v>
      </c>
      <c r="C63" s="8">
        <v>5</v>
      </c>
    </row>
    <row r="64" spans="1:3" x14ac:dyDescent="0.2">
      <c r="A64" t="s">
        <v>24</v>
      </c>
      <c r="B64" t="s">
        <v>11</v>
      </c>
      <c r="C64" s="8">
        <v>10</v>
      </c>
    </row>
    <row r="65" spans="1:3" x14ac:dyDescent="0.2">
      <c r="A65" t="s">
        <v>86</v>
      </c>
      <c r="B65" t="s">
        <v>11</v>
      </c>
      <c r="C65" s="8">
        <v>10</v>
      </c>
    </row>
    <row r="66" spans="1:3" x14ac:dyDescent="0.2">
      <c r="A66" t="s">
        <v>26</v>
      </c>
      <c r="B66" t="s">
        <v>11</v>
      </c>
      <c r="C66" s="8">
        <v>15</v>
      </c>
    </row>
    <row r="67" spans="1:3" x14ac:dyDescent="0.2">
      <c r="A67" t="s">
        <v>87</v>
      </c>
      <c r="B67" t="s">
        <v>11</v>
      </c>
      <c r="C67" s="8">
        <v>20</v>
      </c>
    </row>
    <row r="68" spans="1:3" x14ac:dyDescent="0.2">
      <c r="A68" t="s">
        <v>88</v>
      </c>
      <c r="B68" t="s">
        <v>11</v>
      </c>
      <c r="C68" s="8">
        <v>5</v>
      </c>
    </row>
    <row r="69" spans="1:3" x14ac:dyDescent="0.2">
      <c r="A69" t="s">
        <v>89</v>
      </c>
      <c r="B69" t="s">
        <v>11</v>
      </c>
      <c r="C69" s="8">
        <v>5</v>
      </c>
    </row>
    <row r="70" spans="1:3" x14ac:dyDescent="0.2">
      <c r="A70" t="s">
        <v>90</v>
      </c>
      <c r="B70" t="s">
        <v>11</v>
      </c>
      <c r="C70" s="8">
        <v>10</v>
      </c>
    </row>
    <row r="71" spans="1:3" x14ac:dyDescent="0.2">
      <c r="A71" t="s">
        <v>91</v>
      </c>
      <c r="B71" t="s">
        <v>11</v>
      </c>
      <c r="C71" s="8">
        <v>10</v>
      </c>
    </row>
    <row r="72" spans="1:3" x14ac:dyDescent="0.2">
      <c r="A72" t="s">
        <v>92</v>
      </c>
      <c r="B72" t="s">
        <v>11</v>
      </c>
      <c r="C72" s="8">
        <v>10</v>
      </c>
    </row>
    <row r="73" spans="1:3" x14ac:dyDescent="0.2">
      <c r="A73" t="s">
        <v>93</v>
      </c>
      <c r="B73" t="s">
        <v>11</v>
      </c>
      <c r="C73" s="8">
        <v>20</v>
      </c>
    </row>
    <row r="74" spans="1:3" x14ac:dyDescent="0.2">
      <c r="A74" t="s">
        <v>94</v>
      </c>
      <c r="B74" t="s">
        <v>11</v>
      </c>
      <c r="C74" s="8">
        <v>10</v>
      </c>
    </row>
    <row r="75" spans="1:3" x14ac:dyDescent="0.2">
      <c r="A75" t="s">
        <v>95</v>
      </c>
      <c r="B75" t="s">
        <v>11</v>
      </c>
      <c r="C75" s="8">
        <v>10</v>
      </c>
    </row>
    <row r="76" spans="1:3" x14ac:dyDescent="0.2">
      <c r="A76" t="s">
        <v>96</v>
      </c>
      <c r="B76" t="s">
        <v>11</v>
      </c>
      <c r="C76" s="8">
        <v>10</v>
      </c>
    </row>
    <row r="77" spans="1:3" x14ac:dyDescent="0.2">
      <c r="A77" t="s">
        <v>97</v>
      </c>
      <c r="B77" t="s">
        <v>11</v>
      </c>
      <c r="C77" s="8">
        <v>20</v>
      </c>
    </row>
    <row r="78" spans="1:3" x14ac:dyDescent="0.2">
      <c r="A78" t="s">
        <v>27</v>
      </c>
      <c r="B78" t="s">
        <v>11</v>
      </c>
      <c r="C78" s="8">
        <v>30</v>
      </c>
    </row>
    <row r="79" spans="1:3" x14ac:dyDescent="0.2">
      <c r="A79" t="s">
        <v>98</v>
      </c>
      <c r="B79" t="s">
        <v>11</v>
      </c>
      <c r="C79" s="8">
        <v>10</v>
      </c>
    </row>
    <row r="80" spans="1:3" x14ac:dyDescent="0.2">
      <c r="A80" t="s">
        <v>99</v>
      </c>
      <c r="B80" t="s">
        <v>11</v>
      </c>
      <c r="C80" s="8">
        <v>10</v>
      </c>
    </row>
    <row r="81" spans="1:3" x14ac:dyDescent="0.2">
      <c r="A81" t="s">
        <v>100</v>
      </c>
      <c r="B81" t="s">
        <v>11</v>
      </c>
      <c r="C81" s="8">
        <v>10</v>
      </c>
    </row>
    <row r="82" spans="1:3" x14ac:dyDescent="0.2">
      <c r="A82" t="s">
        <v>101</v>
      </c>
      <c r="B82" t="s">
        <v>11</v>
      </c>
      <c r="C82" s="8">
        <v>10</v>
      </c>
    </row>
    <row r="83" spans="1:3" x14ac:dyDescent="0.2">
      <c r="A83" t="s">
        <v>102</v>
      </c>
      <c r="B83" t="s">
        <v>11</v>
      </c>
      <c r="C83" s="8">
        <v>10</v>
      </c>
    </row>
    <row r="84" spans="1:3" x14ac:dyDescent="0.2">
      <c r="A84" t="s">
        <v>103</v>
      </c>
      <c r="B84" t="s">
        <v>11</v>
      </c>
      <c r="C84" s="8">
        <v>10</v>
      </c>
    </row>
    <row r="85" spans="1:3" x14ac:dyDescent="0.2">
      <c r="A85" t="s">
        <v>104</v>
      </c>
      <c r="B85" t="s">
        <v>11</v>
      </c>
      <c r="C85" s="8">
        <v>10</v>
      </c>
    </row>
    <row r="86" spans="1:3" x14ac:dyDescent="0.2">
      <c r="A86" t="s">
        <v>105</v>
      </c>
      <c r="B86" t="s">
        <v>11</v>
      </c>
      <c r="C86" s="8">
        <v>20</v>
      </c>
    </row>
    <row r="87" spans="1:3" x14ac:dyDescent="0.2">
      <c r="A87" t="s">
        <v>106</v>
      </c>
      <c r="B87" t="s">
        <v>11</v>
      </c>
      <c r="C87" s="8">
        <v>30</v>
      </c>
    </row>
  </sheetData>
  <autoFilter ref="A1:C8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topLeftCell="A29" workbookViewId="0"/>
  </sheetViews>
  <sheetFormatPr defaultRowHeight="15" x14ac:dyDescent="0.2"/>
  <cols>
    <col min="1" max="1" width="32.015625" customWidth="1"/>
    <col min="2" max="2" width="22.05859375" customWidth="1"/>
    <col min="4" max="4" width="18.0234375" customWidth="1"/>
    <col min="5" max="5" width="20.04296875" customWidth="1"/>
    <col min="6" max="6" width="18.0234375" customWidth="1"/>
  </cols>
  <sheetData>
    <row r="1" spans="1:6" ht="29.25" x14ac:dyDescent="0.4">
      <c r="A1" s="13" t="s">
        <v>9</v>
      </c>
      <c r="B1" s="14"/>
    </row>
    <row r="2" spans="1:6" ht="29.25" x14ac:dyDescent="0.4">
      <c r="A2" t="s">
        <v>107</v>
      </c>
      <c r="B2" s="9">
        <f>SUM('Sales Log'!F:F)</f>
        <v>795</v>
      </c>
      <c r="D2" s="2" t="s">
        <v>8</v>
      </c>
      <c r="E2" s="2" t="s">
        <v>31</v>
      </c>
      <c r="F2" s="2" t="s">
        <v>31</v>
      </c>
    </row>
    <row r="3" spans="1:6" x14ac:dyDescent="0.2">
      <c r="A3" s="3" t="s">
        <v>108</v>
      </c>
      <c r="B3" s="8">
        <f>SUM('Sales Log'!F:F)</f>
        <v>795</v>
      </c>
      <c r="D3" t="str">
        <f>'Pay Day Totals'!A2</f>
        <v>25/05/2026</v>
      </c>
      <c r="E3" s="10">
        <f>'Pay Day Totals'!C2</f>
        <v>0</v>
      </c>
      <c r="F3" s="8">
        <f>SUMIF('Sales Log'!B:B,D3,'Sales Log'!F:F)</f>
        <v>0</v>
      </c>
    </row>
    <row r="4" spans="1:6" ht="18.75" x14ac:dyDescent="0.25">
      <c r="A4" s="5" t="s">
        <v>109</v>
      </c>
      <c r="B4" s="8">
        <f>SUMIF('Sales Log'!C:C,"TV",'Sales Log'!F:F)</f>
        <v>715</v>
      </c>
      <c r="D4" t="str">
        <f>'Pay Day Totals'!A3</f>
        <v>25/06/2026</v>
      </c>
      <c r="E4" s="10">
        <f>'Pay Day Totals'!C3</f>
        <v>0</v>
      </c>
      <c r="F4" s="8">
        <f>SUMIF('Sales Log'!B:B,D4,'Sales Log'!F:F)</f>
        <v>0</v>
      </c>
    </row>
    <row r="5" spans="1:6" x14ac:dyDescent="0.2">
      <c r="A5" s="3" t="s">
        <v>108</v>
      </c>
      <c r="B5" s="10">
        <f>SUM('Sales Log'!F:F)</f>
        <v>795</v>
      </c>
      <c r="D5" t="str">
        <f>'Pay Day Totals'!A4</f>
        <v>24/07/2026</v>
      </c>
      <c r="E5" s="10">
        <f>'Pay Day Totals'!C4</f>
        <v>0</v>
      </c>
      <c r="F5" s="8">
        <f>SUMIF('Sales Log'!B:B,D5,'Sales Log'!F:F)</f>
        <v>0</v>
      </c>
    </row>
    <row r="6" spans="1:6" x14ac:dyDescent="0.2">
      <c r="A6" s="3" t="s">
        <v>110</v>
      </c>
      <c r="B6" s="10">
        <f>SUMIF('Sales Log'!C:C,"TV",'Sales Log'!F:F)</f>
        <v>715</v>
      </c>
      <c r="D6" t="str">
        <f>'Pay Day Totals'!A5</f>
        <v>25/08/2026</v>
      </c>
      <c r="E6" s="10">
        <f>'Pay Day Totals'!C5</f>
        <v>0</v>
      </c>
      <c r="F6" s="8">
        <f>SUMIF('Sales Log'!B:B,D6,'Sales Log'!F:F)</f>
        <v>0</v>
      </c>
    </row>
    <row r="7" spans="1:6" x14ac:dyDescent="0.2">
      <c r="A7" s="3" t="s">
        <v>111</v>
      </c>
      <c r="B7" s="10">
        <f>SUMIF('Sales Log'!C:C,"Soundbar",'Sales Log'!F:F)</f>
        <v>80</v>
      </c>
      <c r="D7" t="str">
        <f>'Pay Day Totals'!A6</f>
        <v>25/09/2026</v>
      </c>
      <c r="E7" s="10">
        <f>'Pay Day Totals'!C6</f>
        <v>0</v>
      </c>
      <c r="F7" s="8">
        <f>SUMIF('Sales Log'!B:B,D7,'Sales Log'!F:F)</f>
        <v>0</v>
      </c>
    </row>
    <row r="8" spans="1:6" x14ac:dyDescent="0.2">
      <c r="A8" s="3" t="s">
        <v>112</v>
      </c>
      <c r="B8" s="4">
        <f>SUM('Sales Log'!D:D)</f>
        <v>32</v>
      </c>
      <c r="D8" t="str">
        <f>'Pay Day Totals'!A7</f>
        <v>23/10/2026</v>
      </c>
      <c r="E8" s="10">
        <f>'Pay Day Totals'!C7</f>
        <v>0</v>
      </c>
      <c r="F8" s="8">
        <f>SUMIF('Sales Log'!B:B,D8,'Sales Log'!F:F)</f>
        <v>0</v>
      </c>
    </row>
    <row r="9" spans="1:6" x14ac:dyDescent="0.2">
      <c r="D9" t="str">
        <f>'Pay Day Totals'!A8</f>
        <v>25/11/2026</v>
      </c>
      <c r="E9" s="10">
        <f>'Pay Day Totals'!C8</f>
        <v>0</v>
      </c>
      <c r="F9" s="8">
        <f>SUMIF('Sales Log'!B:B,D9,'Sales Log'!F:F)</f>
        <v>0</v>
      </c>
    </row>
    <row r="10" spans="1:6" x14ac:dyDescent="0.2">
      <c r="D10" t="str">
        <f>'Pay Day Totals'!A9</f>
        <v>TBC</v>
      </c>
      <c r="E10" s="10">
        <f>'Pay Day Totals'!C9</f>
        <v>0</v>
      </c>
      <c r="F10" s="8">
        <f>SUMIF('Sales Log'!B:B,D10,'Sales Log'!F:F)</f>
        <v>0</v>
      </c>
    </row>
    <row r="11" spans="1:6" ht="18.75" x14ac:dyDescent="0.25">
      <c r="A11" s="5" t="s">
        <v>113</v>
      </c>
      <c r="D11" t="str">
        <f>'Pay Day Totals'!A10</f>
        <v>25/01/2027</v>
      </c>
      <c r="E11" s="10">
        <f>'Pay Day Totals'!C10</f>
        <v>0</v>
      </c>
      <c r="F11" s="8">
        <f>SUMIF('Sales Log'!B:B,D11,'Sales Log'!F:F)</f>
        <v>0</v>
      </c>
    </row>
    <row r="12" spans="1:6" x14ac:dyDescent="0.2">
      <c r="A12" t="s">
        <v>114</v>
      </c>
      <c r="D12" t="s">
        <v>40</v>
      </c>
      <c r="E12">
        <f>SUMIF('Sales Log'!B:B,D12,'Sales Log'!D:D)</f>
        <v>0</v>
      </c>
      <c r="F12" s="8">
        <f>SUMIF('Sales Log'!B:B,D12,'Sales Log'!F:F)</f>
        <v>0</v>
      </c>
    </row>
    <row r="13" spans="1:6" x14ac:dyDescent="0.2">
      <c r="A13" t="s">
        <v>115</v>
      </c>
      <c r="D13" t="s">
        <v>41</v>
      </c>
      <c r="E13">
        <f>SUMIF('Sales Log'!B:B,D13,'Sales Log'!D:D)</f>
        <v>0</v>
      </c>
      <c r="F13" s="8">
        <f>SUMIF('Sales Log'!B:B,D13,'Sales Log'!F:F)</f>
        <v>0</v>
      </c>
    </row>
    <row r="14" spans="1:6" x14ac:dyDescent="0.2">
      <c r="A14" t="s">
        <v>116</v>
      </c>
      <c r="D14" t="s">
        <v>42</v>
      </c>
      <c r="E14">
        <f>SUMIF('Sales Log'!B:B,D14,'Sales Log'!D:D)</f>
        <v>0</v>
      </c>
      <c r="F14" s="8">
        <f>SUMIF('Sales Log'!B:B,D14,'Sales Log'!F:F)</f>
        <v>0</v>
      </c>
    </row>
    <row r="15" spans="1:6" x14ac:dyDescent="0.2">
      <c r="A15" t="s">
        <v>117</v>
      </c>
      <c r="D15" t="s">
        <v>43</v>
      </c>
      <c r="E15">
        <f>SUMIF('Sales Log'!B:B,D15,'Sales Log'!D:D)</f>
        <v>0</v>
      </c>
      <c r="F15" s="8">
        <f>SUMIF('Sales Log'!B:B,D15,'Sales Log'!F:F)</f>
        <v>0</v>
      </c>
    </row>
    <row r="16" spans="1:6" x14ac:dyDescent="0.2">
      <c r="D16" t="s">
        <v>44</v>
      </c>
      <c r="E16">
        <f>SUMIF('Sales Log'!B:B,D16,'Sales Log'!D:D)</f>
        <v>0</v>
      </c>
      <c r="F16" s="8">
        <f>SUMIF('Sales Log'!B:B,D16,'Sales Log'!F:F)</f>
        <v>0</v>
      </c>
    </row>
    <row r="17" spans="4:6" x14ac:dyDescent="0.2">
      <c r="D17" t="s">
        <v>45</v>
      </c>
      <c r="E17">
        <f>SUMIF('Sales Log'!B:B,D17,'Sales Log'!D:D)</f>
        <v>0</v>
      </c>
      <c r="F17" s="8">
        <f>SUMIF('Sales Log'!B:B,D17,'Sales Log'!F:F)</f>
        <v>0</v>
      </c>
    </row>
    <row r="18" spans="4:6" x14ac:dyDescent="0.2">
      <c r="D18" t="s">
        <v>46</v>
      </c>
      <c r="E18">
        <f>SUMIF('Sales Log'!B:B,D18,'Sales Log'!D:D)</f>
        <v>0</v>
      </c>
      <c r="F18" s="8">
        <f>SUMIF('Sales Log'!B:B,D18,'Sales Log'!F:F)</f>
        <v>0</v>
      </c>
    </row>
    <row r="19" spans="4:6" x14ac:dyDescent="0.2">
      <c r="D19" t="s">
        <v>17</v>
      </c>
      <c r="E19">
        <f>SUMIF('Sales Log'!B:B,D19,'Sales Log'!D:D)</f>
        <v>1</v>
      </c>
      <c r="F19" s="8">
        <f>SUMIF('Sales Log'!B:B,D19,'Sales Log'!F:F)</f>
        <v>20</v>
      </c>
    </row>
    <row r="20" spans="4:6" x14ac:dyDescent="0.2">
      <c r="D20" t="s">
        <v>47</v>
      </c>
      <c r="E20">
        <f>SUMIF('Sales Log'!B:B,D20,'Sales Log'!D:D)</f>
        <v>0</v>
      </c>
      <c r="F20" s="8">
        <f>SUMIF('Sales Log'!B:B,D20,'Sales Log'!F:F)</f>
        <v>0</v>
      </c>
    </row>
    <row r="21" spans="4:6" x14ac:dyDescent="0.2">
      <c r="D21" t="s">
        <v>48</v>
      </c>
      <c r="E21">
        <f>SUMIF('Sales Log'!B:B,D21,'Sales Log'!D:D)</f>
        <v>0</v>
      </c>
      <c r="F21" s="8">
        <f>SUMIF('Sales Log'!B:B,D21,'Sales Log'!F:F)</f>
        <v>0</v>
      </c>
    </row>
    <row r="22" spans="4:6" x14ac:dyDescent="0.2">
      <c r="D22" t="s">
        <v>49</v>
      </c>
      <c r="E22">
        <f>SUMIF('Sales Log'!B:B,D22,'Sales Log'!D:D)</f>
        <v>0</v>
      </c>
      <c r="F22" s="8">
        <f>SUMIF('Sales Log'!B:B,D22,'Sales Log'!F:F)</f>
        <v>0</v>
      </c>
    </row>
    <row r="23" spans="4:6" x14ac:dyDescent="0.2">
      <c r="D23" t="s">
        <v>50</v>
      </c>
      <c r="E23">
        <f>SUMIF('Sales Log'!B:B,D23,'Sales Log'!D:D)</f>
        <v>0</v>
      </c>
      <c r="F23" s="8">
        <f>SUMIF('Sales Log'!B:B,D23,'Sales Log'!F:F)</f>
        <v>0</v>
      </c>
    </row>
    <row r="24" spans="4:6" x14ac:dyDescent="0.2">
      <c r="D24" t="s">
        <v>51</v>
      </c>
      <c r="E24">
        <f>SUMIF('Sales Log'!B:B,D24,'Sales Log'!D:D)</f>
        <v>0</v>
      </c>
      <c r="F24" s="8">
        <f>SUMIF('Sales Log'!B:B,D24,'Sales Log'!F:F)</f>
        <v>0</v>
      </c>
    </row>
    <row r="25" spans="4:6" x14ac:dyDescent="0.2">
      <c r="D25" t="s">
        <v>52</v>
      </c>
      <c r="E25">
        <f>SUMIF('Sales Log'!B:B,D25,'Sales Log'!D:D)</f>
        <v>0</v>
      </c>
      <c r="F25" s="8">
        <f>SUMIF('Sales Log'!B:B,D25,'Sales Log'!F:F)</f>
        <v>0</v>
      </c>
    </row>
    <row r="26" spans="4:6" x14ac:dyDescent="0.2">
      <c r="D26" t="s">
        <v>53</v>
      </c>
      <c r="E26">
        <f>SUMIF('Sales Log'!B:B,D26,'Sales Log'!D:D)</f>
        <v>0</v>
      </c>
      <c r="F26" s="8">
        <f>SUMIF('Sales Log'!B:B,D26,'Sales Log'!F:F)</f>
        <v>0</v>
      </c>
    </row>
    <row r="27" spans="4:6" x14ac:dyDescent="0.2">
      <c r="D27" t="s">
        <v>54</v>
      </c>
      <c r="E27">
        <f>SUMIF('Sales Log'!B:B,D27,'Sales Log'!D:D)</f>
        <v>0</v>
      </c>
      <c r="F27" s="8">
        <f>SUMIF('Sales Log'!B:B,D27,'Sales Log'!F:F)</f>
        <v>0</v>
      </c>
    </row>
    <row r="28" spans="4:6" x14ac:dyDescent="0.2">
      <c r="D28" t="s">
        <v>55</v>
      </c>
      <c r="E28">
        <f>SUMIF('Sales Log'!B:B,D28,'Sales Log'!D:D)</f>
        <v>0</v>
      </c>
      <c r="F28" s="8">
        <f>SUMIF('Sales Log'!B:B,D28,'Sales Log'!F:F)</f>
        <v>0</v>
      </c>
    </row>
    <row r="29" spans="4:6" x14ac:dyDescent="0.2">
      <c r="D29" t="s">
        <v>16</v>
      </c>
      <c r="E29">
        <f>SUMIF('Sales Log'!B:B,D29,'Sales Log'!D:D)</f>
        <v>1</v>
      </c>
      <c r="F29" s="8">
        <f>SUMIF('Sales Log'!B:B,D29,'Sales Log'!F:F)</f>
        <v>15</v>
      </c>
    </row>
    <row r="30" spans="4:6" x14ac:dyDescent="0.2">
      <c r="D30" t="s">
        <v>56</v>
      </c>
      <c r="E30">
        <f>SUMIF('Sales Log'!B:B,D30,'Sales Log'!D:D)</f>
        <v>0</v>
      </c>
      <c r="F30" s="8">
        <f>SUMIF('Sales Log'!B:B,D30,'Sales Log'!F:F)</f>
        <v>0</v>
      </c>
    </row>
    <row r="31" spans="4:6" x14ac:dyDescent="0.2">
      <c r="D31" t="s">
        <v>57</v>
      </c>
      <c r="E31">
        <f>SUMIF('Sales Log'!B:B,D31,'Sales Log'!D:D)</f>
        <v>0</v>
      </c>
      <c r="F31" s="8">
        <f>SUMIF('Sales Log'!B:B,D31,'Sales Log'!F:F)</f>
        <v>0</v>
      </c>
    </row>
    <row r="32" spans="4:6" x14ac:dyDescent="0.2">
      <c r="D32" t="s">
        <v>58</v>
      </c>
      <c r="E32">
        <f>SUMIF('Sales Log'!B:B,D32,'Sales Log'!D:D)</f>
        <v>0</v>
      </c>
      <c r="F32" s="8">
        <f>SUMIF('Sales Log'!B:B,D32,'Sales Log'!F:F)</f>
        <v>0</v>
      </c>
    </row>
    <row r="33" spans="4:6" x14ac:dyDescent="0.2">
      <c r="D33" t="s">
        <v>10</v>
      </c>
      <c r="E33">
        <f>SUMIF('Sales Log'!B:B,D33,'Sales Log'!D:D)</f>
        <v>1</v>
      </c>
      <c r="F33" s="8">
        <f>SUMIF('Sales Log'!B:B,D33,'Sales Log'!F:F)</f>
        <v>60</v>
      </c>
    </row>
    <row r="34" spans="4:6" x14ac:dyDescent="0.2">
      <c r="D34" t="s">
        <v>59</v>
      </c>
      <c r="E34">
        <f>SUMIF('Sales Log'!B:B,D34,'Sales Log'!D:D)</f>
        <v>0</v>
      </c>
      <c r="F34" s="8">
        <f>SUMIF('Sales Log'!B:B,D34,'Sales Log'!F:F)</f>
        <v>0</v>
      </c>
    </row>
    <row r="35" spans="4:6" x14ac:dyDescent="0.2">
      <c r="D35" t="s">
        <v>60</v>
      </c>
      <c r="E35">
        <f>SUMIF('Sales Log'!B:B,D35,'Sales Log'!D:D)</f>
        <v>0</v>
      </c>
      <c r="F35" s="8">
        <f>SUMIF('Sales Log'!B:B,D35,'Sales Log'!F:F)</f>
        <v>0</v>
      </c>
    </row>
    <row r="36" spans="4:6" x14ac:dyDescent="0.2">
      <c r="D36" t="s">
        <v>61</v>
      </c>
      <c r="E36">
        <f>SUMIF('Sales Log'!B:B,D36,'Sales Log'!D:D)</f>
        <v>0</v>
      </c>
      <c r="F36" s="8">
        <f>SUMIF('Sales Log'!B:B,D36,'Sales Log'!F:F)</f>
        <v>0</v>
      </c>
    </row>
    <row r="37" spans="4:6" x14ac:dyDescent="0.2">
      <c r="D37" t="s">
        <v>62</v>
      </c>
      <c r="E37">
        <f>SUMIF('Sales Log'!B:B,D37,'Sales Log'!D:D)</f>
        <v>0</v>
      </c>
      <c r="F37" s="8">
        <f>SUMIF('Sales Log'!B:B,D37,'Sales Log'!F:F)</f>
        <v>0</v>
      </c>
    </row>
    <row r="38" spans="4:6" x14ac:dyDescent="0.2">
      <c r="D38" t="s">
        <v>63</v>
      </c>
      <c r="E38">
        <f>SUMIF('Sales Log'!B:B,D38,'Sales Log'!D:D)</f>
        <v>0</v>
      </c>
      <c r="F38" s="8">
        <f>SUMIF('Sales Log'!B:B,D38,'Sales Log'!F:F)</f>
        <v>0</v>
      </c>
    </row>
    <row r="39" spans="4:6" x14ac:dyDescent="0.2">
      <c r="D39" t="s">
        <v>64</v>
      </c>
      <c r="E39">
        <f>SUMIF('Sales Log'!B:B,D39,'Sales Log'!D:D)</f>
        <v>0</v>
      </c>
      <c r="F39" s="8">
        <f>SUMIF('Sales Log'!B:B,D39,'Sales Log'!F:F)</f>
        <v>0</v>
      </c>
    </row>
    <row r="40" spans="4:6" x14ac:dyDescent="0.2">
      <c r="D40" t="s">
        <v>65</v>
      </c>
      <c r="E40">
        <f>SUMIF('Sales Log'!B:B,D40,'Sales Log'!D:D)</f>
        <v>0</v>
      </c>
      <c r="F40" s="8">
        <f>SUMIF('Sales Log'!B:B,D40,'Sales Log'!F:F)</f>
        <v>0</v>
      </c>
    </row>
    <row r="41" spans="4:6" x14ac:dyDescent="0.2">
      <c r="D41" t="s">
        <v>66</v>
      </c>
      <c r="E41">
        <f>SUMIF('Sales Log'!B:B,D41,'Sales Log'!D:D)</f>
        <v>0</v>
      </c>
      <c r="F41" s="8">
        <f>SUMIF('Sales Log'!B:B,D41,'Sales Log'!F:F)</f>
        <v>0</v>
      </c>
    </row>
    <row r="42" spans="4:6" x14ac:dyDescent="0.2">
      <c r="D42" t="s">
        <v>67</v>
      </c>
      <c r="E42">
        <f>SUMIF('Sales Log'!B:B,D42,'Sales Log'!D:D)</f>
        <v>0</v>
      </c>
      <c r="F42" s="8">
        <f>SUMIF('Sales Log'!B:B,D42,'Sales Log'!F:F)</f>
        <v>0</v>
      </c>
    </row>
    <row r="43" spans="4:6" x14ac:dyDescent="0.2">
      <c r="D43" t="s">
        <v>68</v>
      </c>
      <c r="E43">
        <f>SUMIF('Sales Log'!B:B,D43,'Sales Log'!D:D)</f>
        <v>0</v>
      </c>
      <c r="F43" s="8">
        <f>SUMIF('Sales Log'!B:B,D43,'Sales Log'!F:F)</f>
        <v>0</v>
      </c>
    </row>
    <row r="44" spans="4:6" x14ac:dyDescent="0.2">
      <c r="D44" t="s">
        <v>69</v>
      </c>
      <c r="E44">
        <f>SUMIF('Sales Log'!B:B,D44,'Sales Log'!D:D)</f>
        <v>0</v>
      </c>
      <c r="F44" s="8">
        <f>SUMIF('Sales Log'!B:B,D44,'Sales Log'!F:F)</f>
        <v>0</v>
      </c>
    </row>
    <row r="45" spans="4:6" x14ac:dyDescent="0.2">
      <c r="D45" t="s">
        <v>70</v>
      </c>
      <c r="E45">
        <f>SUMIF('Sales Log'!B:B,D45,'Sales Log'!D:D)</f>
        <v>0</v>
      </c>
      <c r="F45" s="8">
        <f>SUMIF('Sales Log'!B:B,D45,'Sales Log'!F:F)</f>
        <v>0</v>
      </c>
    </row>
    <row r="46" spans="4:6" x14ac:dyDescent="0.2">
      <c r="D46" t="s">
        <v>71</v>
      </c>
      <c r="E46">
        <f>SUMIF('Sales Log'!B:B,D46,'Sales Log'!D:D)</f>
        <v>0</v>
      </c>
      <c r="F46" s="8">
        <f>SUMIF('Sales Log'!B:B,D46,'Sales Log'!F:F)</f>
        <v>0</v>
      </c>
    </row>
    <row r="47" spans="4:6" x14ac:dyDescent="0.2">
      <c r="D47" t="s">
        <v>72</v>
      </c>
      <c r="E47">
        <f>SUMIF('Sales Log'!B:B,D47,'Sales Log'!D:D)</f>
        <v>0</v>
      </c>
      <c r="F47" s="8">
        <f>SUMIF('Sales Log'!B:B,D47,'Sales Log'!F:F)</f>
        <v>0</v>
      </c>
    </row>
    <row r="48" spans="4:6" x14ac:dyDescent="0.2">
      <c r="D48" t="s">
        <v>73</v>
      </c>
      <c r="E48">
        <f>SUMIF('Sales Log'!B:B,D48,'Sales Log'!D:D)</f>
        <v>0</v>
      </c>
      <c r="F48" s="8">
        <f>SUMIF('Sales Log'!B:B,D48,'Sales Log'!F:F)</f>
        <v>0</v>
      </c>
    </row>
    <row r="49" spans="4:6" x14ac:dyDescent="0.2">
      <c r="D49" t="s">
        <v>74</v>
      </c>
      <c r="E49">
        <f>SUMIF('Sales Log'!B:B,D49,'Sales Log'!D:D)</f>
        <v>0</v>
      </c>
      <c r="F49" s="8">
        <f>SUMIF('Sales Log'!B:B,D49,'Sales Log'!F:F)</f>
        <v>0</v>
      </c>
    </row>
    <row r="50" spans="4:6" x14ac:dyDescent="0.2">
      <c r="D50" t="s">
        <v>75</v>
      </c>
      <c r="E50">
        <f>SUMIF('Sales Log'!B:B,D50,'Sales Log'!D:D)</f>
        <v>0</v>
      </c>
      <c r="F50" s="8">
        <f>SUMIF('Sales Log'!B:B,D50,'Sales Log'!F:F)</f>
        <v>0</v>
      </c>
    </row>
    <row r="51" spans="4:6" x14ac:dyDescent="0.2">
      <c r="D51" t="s">
        <v>76</v>
      </c>
      <c r="E51">
        <f>SUMIF('Sales Log'!B:B,D51,'Sales Log'!D:D)</f>
        <v>0</v>
      </c>
      <c r="F51" s="8">
        <f>SUMIF('Sales Log'!B:B,D51,'Sales Log'!F:F)</f>
        <v>0</v>
      </c>
    </row>
    <row r="52" spans="4:6" x14ac:dyDescent="0.2">
      <c r="D52" t="s">
        <v>77</v>
      </c>
      <c r="E52">
        <f>SUMIF('Sales Log'!B:B,D52,'Sales Log'!D:D)</f>
        <v>0</v>
      </c>
      <c r="F52" s="8">
        <f>SUMIF('Sales Log'!B:B,D52,'Sales Log'!F:F)</f>
        <v>0</v>
      </c>
    </row>
    <row r="53" spans="4:6" x14ac:dyDescent="0.2">
      <c r="D53" t="s">
        <v>78</v>
      </c>
      <c r="E53">
        <f>SUMIF('Sales Log'!B:B,D53,'Sales Log'!D:D)</f>
        <v>0</v>
      </c>
      <c r="F53" s="8">
        <f>SUMIF('Sales Log'!B:B,D53,'Sales Log'!F:F)</f>
        <v>0</v>
      </c>
    </row>
    <row r="54" spans="4:6" x14ac:dyDescent="0.2">
      <c r="D54" t="s">
        <v>79</v>
      </c>
      <c r="E54">
        <f>SUMIF('Sales Log'!B:B,D54,'Sales Log'!D:D)</f>
        <v>0</v>
      </c>
      <c r="F54" s="8">
        <f>SUMIF('Sales Log'!B:B,D54,'Sales Log'!F:F)</f>
        <v>0</v>
      </c>
    </row>
    <row r="55" spans="4:6" x14ac:dyDescent="0.2">
      <c r="D55" t="s">
        <v>12</v>
      </c>
      <c r="E55">
        <f>SUMIF('Sales Log'!B:B,D55,'Sales Log'!D:D)</f>
        <v>2</v>
      </c>
      <c r="F55" s="8">
        <f>SUMIF('Sales Log'!B:B,D55,'Sales Log'!F:F)</f>
        <v>80</v>
      </c>
    </row>
    <row r="56" spans="4:6" x14ac:dyDescent="0.2">
      <c r="D56" t="s">
        <v>14</v>
      </c>
      <c r="E56">
        <f>SUMIF('Sales Log'!B:B,D56,'Sales Log'!D:D)</f>
        <v>6</v>
      </c>
      <c r="F56" s="8">
        <f>SUMIF('Sales Log'!B:B,D56,'Sales Log'!F:F)</f>
        <v>30</v>
      </c>
    </row>
    <row r="57" spans="4:6" x14ac:dyDescent="0.2">
      <c r="D57" t="s">
        <v>18</v>
      </c>
      <c r="E57">
        <f>SUMIF('Sales Log'!B:B,D57,'Sales Log'!D:D)</f>
        <v>1</v>
      </c>
      <c r="F57" s="8">
        <f>SUMIF('Sales Log'!B:B,D57,'Sales Log'!F:F)</f>
        <v>5</v>
      </c>
    </row>
    <row r="58" spans="4:6" x14ac:dyDescent="0.2">
      <c r="D58" t="s">
        <v>80</v>
      </c>
      <c r="E58">
        <f>SUMIF('Sales Log'!B:B,D58,'Sales Log'!D:D)</f>
        <v>0</v>
      </c>
      <c r="F58" s="8">
        <f>SUMIF('Sales Log'!B:B,D58,'Sales Log'!F:F)</f>
        <v>0</v>
      </c>
    </row>
    <row r="59" spans="4:6" x14ac:dyDescent="0.2">
      <c r="D59" t="s">
        <v>81</v>
      </c>
      <c r="E59">
        <f>SUMIF('Sales Log'!B:B,D59,'Sales Log'!D:D)</f>
        <v>0</v>
      </c>
      <c r="F59" s="8">
        <f>SUMIF('Sales Log'!B:B,D59,'Sales Log'!F:F)</f>
        <v>0</v>
      </c>
    </row>
    <row r="60" spans="4:6" x14ac:dyDescent="0.2">
      <c r="D60" t="s">
        <v>82</v>
      </c>
      <c r="E60">
        <f>SUMIF('Sales Log'!B:B,D60,'Sales Log'!D:D)</f>
        <v>0</v>
      </c>
      <c r="F60" s="8">
        <f>SUMIF('Sales Log'!B:B,D60,'Sales Log'!F:F)</f>
        <v>0</v>
      </c>
    </row>
    <row r="61" spans="4:6" x14ac:dyDescent="0.2">
      <c r="D61" t="s">
        <v>83</v>
      </c>
      <c r="E61">
        <f>SUMIF('Sales Log'!B:B,D61,'Sales Log'!D:D)</f>
        <v>0</v>
      </c>
      <c r="F61" s="8">
        <f>SUMIF('Sales Log'!B:B,D61,'Sales Log'!F:F)</f>
        <v>0</v>
      </c>
    </row>
    <row r="62" spans="4:6" x14ac:dyDescent="0.2">
      <c r="D62" t="s">
        <v>84</v>
      </c>
      <c r="E62">
        <f>SUMIF('Sales Log'!B:B,D62,'Sales Log'!D:D)</f>
        <v>0</v>
      </c>
      <c r="F62" s="8">
        <f>SUMIF('Sales Log'!B:B,D62,'Sales Log'!F:F)</f>
        <v>0</v>
      </c>
    </row>
    <row r="63" spans="4:6" x14ac:dyDescent="0.2">
      <c r="D63" t="s">
        <v>85</v>
      </c>
      <c r="E63">
        <f>SUMIF('Sales Log'!B:B,D63,'Sales Log'!D:D)</f>
        <v>0</v>
      </c>
      <c r="F63" s="8">
        <f>SUMIF('Sales Log'!B:B,D63,'Sales Log'!F:F)</f>
        <v>0</v>
      </c>
    </row>
    <row r="64" spans="4:6" x14ac:dyDescent="0.2">
      <c r="D64" t="s">
        <v>30</v>
      </c>
      <c r="E64">
        <f>SUMIF('Sales Log'!B:B,D64,'Sales Log'!D:D)</f>
        <v>1</v>
      </c>
      <c r="F64" s="8">
        <f>SUMIF('Sales Log'!B:B,D64,'Sales Log'!F:F)</f>
        <v>5</v>
      </c>
    </row>
    <row r="65" spans="4:6" x14ac:dyDescent="0.2">
      <c r="D65" t="s">
        <v>24</v>
      </c>
      <c r="E65">
        <f>SUMIF('Sales Log'!B:B,D65,'Sales Log'!D:D)</f>
        <v>2</v>
      </c>
      <c r="F65" s="8">
        <f>SUMIF('Sales Log'!B:B,D65,'Sales Log'!F:F)</f>
        <v>20</v>
      </c>
    </row>
    <row r="66" spans="4:6" x14ac:dyDescent="0.2">
      <c r="D66" t="s">
        <v>86</v>
      </c>
      <c r="E66">
        <f>SUMIF('Sales Log'!B:B,D66,'Sales Log'!D:D)</f>
        <v>0</v>
      </c>
      <c r="F66" s="8">
        <f>SUMIF('Sales Log'!B:B,D66,'Sales Log'!F:F)</f>
        <v>0</v>
      </c>
    </row>
    <row r="67" spans="4:6" x14ac:dyDescent="0.2">
      <c r="D67" t="s">
        <v>26</v>
      </c>
      <c r="E67">
        <f>SUMIF('Sales Log'!B:B,D67,'Sales Log'!D:D)</f>
        <v>2</v>
      </c>
      <c r="F67" s="8">
        <f>SUMIF('Sales Log'!B:B,D67,'Sales Log'!F:F)</f>
        <v>40</v>
      </c>
    </row>
    <row r="68" spans="4:6" x14ac:dyDescent="0.2">
      <c r="D68" t="s">
        <v>87</v>
      </c>
      <c r="E68">
        <f>SUMIF('Sales Log'!B:B,D68,'Sales Log'!D:D)</f>
        <v>0</v>
      </c>
      <c r="F68" s="8">
        <f>SUMIF('Sales Log'!B:B,D68,'Sales Log'!F:F)</f>
        <v>0</v>
      </c>
    </row>
    <row r="69" spans="4:6" x14ac:dyDescent="0.2">
      <c r="D69" t="s">
        <v>88</v>
      </c>
      <c r="E69">
        <f>SUMIF('Sales Log'!B:B,D69,'Sales Log'!D:D)</f>
        <v>0</v>
      </c>
      <c r="F69" s="8">
        <f>SUMIF('Sales Log'!B:B,D69,'Sales Log'!F:F)</f>
        <v>0</v>
      </c>
    </row>
    <row r="70" spans="4:6" x14ac:dyDescent="0.2">
      <c r="D70" t="s">
        <v>89</v>
      </c>
      <c r="E70">
        <f>SUMIF('Sales Log'!B:B,D70,'Sales Log'!D:D)</f>
        <v>0</v>
      </c>
      <c r="F70" s="8">
        <f>SUMIF('Sales Log'!B:B,D70,'Sales Log'!F:F)</f>
        <v>0</v>
      </c>
    </row>
    <row r="71" spans="4:6" x14ac:dyDescent="0.2">
      <c r="D71" t="s">
        <v>90</v>
      </c>
      <c r="E71">
        <f>SUMIF('Sales Log'!B:B,D71,'Sales Log'!D:D)</f>
        <v>0</v>
      </c>
      <c r="F71" s="8">
        <f>SUMIF('Sales Log'!B:B,D71,'Sales Log'!F:F)</f>
        <v>0</v>
      </c>
    </row>
    <row r="72" spans="4:6" x14ac:dyDescent="0.2">
      <c r="D72" t="s">
        <v>91</v>
      </c>
      <c r="E72">
        <f>SUMIF('Sales Log'!B:B,D72,'Sales Log'!D:D)</f>
        <v>0</v>
      </c>
      <c r="F72" s="8">
        <f>SUMIF('Sales Log'!B:B,D72,'Sales Log'!F:F)</f>
        <v>0</v>
      </c>
    </row>
    <row r="73" spans="4:6" x14ac:dyDescent="0.2">
      <c r="D73" t="s">
        <v>92</v>
      </c>
      <c r="E73">
        <f>SUMIF('Sales Log'!B:B,D73,'Sales Log'!D:D)</f>
        <v>0</v>
      </c>
      <c r="F73" s="8">
        <f>SUMIF('Sales Log'!B:B,D73,'Sales Log'!F:F)</f>
        <v>0</v>
      </c>
    </row>
    <row r="74" spans="4:6" x14ac:dyDescent="0.2">
      <c r="D74" t="s">
        <v>93</v>
      </c>
      <c r="E74">
        <f>SUMIF('Sales Log'!B:B,D74,'Sales Log'!D:D)</f>
        <v>0</v>
      </c>
      <c r="F74" s="8">
        <f>SUMIF('Sales Log'!B:B,D74,'Sales Log'!F:F)</f>
        <v>0</v>
      </c>
    </row>
    <row r="75" spans="4:6" x14ac:dyDescent="0.2">
      <c r="D75" t="s">
        <v>94</v>
      </c>
      <c r="E75">
        <f>SUMIF('Sales Log'!B:B,D75,'Sales Log'!D:D)</f>
        <v>0</v>
      </c>
      <c r="F75" s="8">
        <f>SUMIF('Sales Log'!B:B,D75,'Sales Log'!F:F)</f>
        <v>0</v>
      </c>
    </row>
    <row r="76" spans="4:6" x14ac:dyDescent="0.2">
      <c r="D76" t="s">
        <v>95</v>
      </c>
      <c r="E76">
        <f>SUMIF('Sales Log'!B:B,D76,'Sales Log'!D:D)</f>
        <v>0</v>
      </c>
      <c r="F76" s="8">
        <f>SUMIF('Sales Log'!B:B,D76,'Sales Log'!F:F)</f>
        <v>0</v>
      </c>
    </row>
    <row r="77" spans="4:6" x14ac:dyDescent="0.2">
      <c r="D77" t="s">
        <v>96</v>
      </c>
      <c r="E77">
        <f>SUMIF('Sales Log'!B:B,D77,'Sales Log'!D:D)</f>
        <v>0</v>
      </c>
      <c r="F77" s="8">
        <f>SUMIF('Sales Log'!B:B,D77,'Sales Log'!F:F)</f>
        <v>0</v>
      </c>
    </row>
    <row r="78" spans="4:6" x14ac:dyDescent="0.2">
      <c r="D78" t="s">
        <v>97</v>
      </c>
      <c r="E78">
        <f>SUMIF('Sales Log'!B:B,D78,'Sales Log'!D:D)</f>
        <v>0</v>
      </c>
      <c r="F78" s="8">
        <f>SUMIF('Sales Log'!B:B,D78,'Sales Log'!F:F)</f>
        <v>0</v>
      </c>
    </row>
    <row r="79" spans="4:6" x14ac:dyDescent="0.2">
      <c r="D79" t="s">
        <v>27</v>
      </c>
      <c r="E79">
        <f>SUMIF('Sales Log'!B:B,D79,'Sales Log'!D:D)</f>
        <v>1</v>
      </c>
      <c r="F79" s="8">
        <f>SUMIF('Sales Log'!B:B,D79,'Sales Log'!F:F)</f>
        <v>35</v>
      </c>
    </row>
    <row r="80" spans="4:6" x14ac:dyDescent="0.2">
      <c r="D80" t="s">
        <v>98</v>
      </c>
      <c r="E80">
        <f>SUMIF('Sales Log'!B:B,D80,'Sales Log'!D:D)</f>
        <v>0</v>
      </c>
      <c r="F80" s="8">
        <f>SUMIF('Sales Log'!B:B,D80,'Sales Log'!F:F)</f>
        <v>0</v>
      </c>
    </row>
    <row r="81" spans="4:6" x14ac:dyDescent="0.2">
      <c r="D81" t="s">
        <v>99</v>
      </c>
      <c r="E81">
        <f>SUMIF('Sales Log'!B:B,D81,'Sales Log'!D:D)</f>
        <v>0</v>
      </c>
      <c r="F81" s="8">
        <f>SUMIF('Sales Log'!B:B,D81,'Sales Log'!F:F)</f>
        <v>0</v>
      </c>
    </row>
    <row r="82" spans="4:6" x14ac:dyDescent="0.2">
      <c r="D82" t="s">
        <v>100</v>
      </c>
      <c r="E82">
        <f>SUMIF('Sales Log'!B:B,D82,'Sales Log'!D:D)</f>
        <v>0</v>
      </c>
      <c r="F82" s="8">
        <f>SUMIF('Sales Log'!B:B,D82,'Sales Log'!F:F)</f>
        <v>0</v>
      </c>
    </row>
    <row r="83" spans="4:6" x14ac:dyDescent="0.2">
      <c r="D83" t="s">
        <v>101</v>
      </c>
      <c r="E83">
        <f>SUMIF('Sales Log'!B:B,D83,'Sales Log'!D:D)</f>
        <v>0</v>
      </c>
      <c r="F83" s="8">
        <f>SUMIF('Sales Log'!B:B,D83,'Sales Log'!F:F)</f>
        <v>0</v>
      </c>
    </row>
    <row r="84" spans="4:6" x14ac:dyDescent="0.2">
      <c r="D84" t="s">
        <v>102</v>
      </c>
      <c r="E84">
        <f>SUMIF('Sales Log'!B:B,D84,'Sales Log'!D:D)</f>
        <v>0</v>
      </c>
      <c r="F84" s="8">
        <f>SUMIF('Sales Log'!B:B,D84,'Sales Log'!F:F)</f>
        <v>0</v>
      </c>
    </row>
    <row r="85" spans="4:6" x14ac:dyDescent="0.2">
      <c r="D85" t="s">
        <v>103</v>
      </c>
      <c r="E85">
        <f>SUMIF('Sales Log'!B:B,D85,'Sales Log'!D:D)</f>
        <v>0</v>
      </c>
      <c r="F85" s="8">
        <f>SUMIF('Sales Log'!B:B,D85,'Sales Log'!F:F)</f>
        <v>0</v>
      </c>
    </row>
    <row r="86" spans="4:6" x14ac:dyDescent="0.2">
      <c r="D86" t="s">
        <v>104</v>
      </c>
      <c r="E86">
        <f>SUMIF('Sales Log'!B:B,D86,'Sales Log'!D:D)</f>
        <v>0</v>
      </c>
      <c r="F86" s="8">
        <f>SUMIF('Sales Log'!B:B,D86,'Sales Log'!F:F)</f>
        <v>0</v>
      </c>
    </row>
    <row r="87" spans="4:6" x14ac:dyDescent="0.2">
      <c r="D87" t="s">
        <v>105</v>
      </c>
      <c r="E87">
        <f>SUMIF('Sales Log'!B:B,D87,'Sales Log'!D:D)</f>
        <v>0</v>
      </c>
      <c r="F87" s="8">
        <f>SUMIF('Sales Log'!B:B,D87,'Sales Log'!F:F)</f>
        <v>0</v>
      </c>
    </row>
    <row r="88" spans="4:6" x14ac:dyDescent="0.2">
      <c r="D88" t="s">
        <v>106</v>
      </c>
      <c r="E88">
        <f>SUMIF('Sales Log'!B:B,D88,'Sales Log'!D:D)</f>
        <v>0</v>
      </c>
      <c r="F88" s="8">
        <f>SUMIF('Sales Log'!B:B,D88,'Sales Log'!F:F)</f>
        <v>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"/>
  <sheetData>
    <row r="1" spans="1:2" x14ac:dyDescent="0.2">
      <c r="A1" t="s">
        <v>118</v>
      </c>
      <c r="B1" t="s">
        <v>119</v>
      </c>
    </row>
    <row r="2" spans="1:2" x14ac:dyDescent="0.2">
      <c r="A2" t="s">
        <v>120</v>
      </c>
      <c r="B2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18.0234375" customWidth="1"/>
  </cols>
  <sheetData>
    <row r="1" spans="1:2" x14ac:dyDescent="0.2">
      <c r="A1" s="2" t="s">
        <v>7</v>
      </c>
      <c r="B1" s="2" t="s">
        <v>8</v>
      </c>
    </row>
    <row r="2" spans="1:2" x14ac:dyDescent="0.2">
      <c r="A2">
        <v>16</v>
      </c>
      <c r="B2" t="s">
        <v>122</v>
      </c>
    </row>
    <row r="3" spans="1:2" x14ac:dyDescent="0.2">
      <c r="A3">
        <v>17</v>
      </c>
      <c r="B3" t="s">
        <v>122</v>
      </c>
    </row>
    <row r="4" spans="1:2" x14ac:dyDescent="0.2">
      <c r="A4">
        <v>18</v>
      </c>
      <c r="B4" t="s">
        <v>123</v>
      </c>
    </row>
    <row r="5" spans="1:2" x14ac:dyDescent="0.2">
      <c r="A5">
        <v>19</v>
      </c>
      <c r="B5" t="s">
        <v>123</v>
      </c>
    </row>
    <row r="6" spans="1:2" x14ac:dyDescent="0.2">
      <c r="A6">
        <v>20</v>
      </c>
      <c r="B6" t="s">
        <v>123</v>
      </c>
    </row>
    <row r="7" spans="1:2" x14ac:dyDescent="0.2">
      <c r="A7">
        <v>21</v>
      </c>
      <c r="B7" t="s">
        <v>123</v>
      </c>
    </row>
    <row r="8" spans="1:2" x14ac:dyDescent="0.2">
      <c r="A8">
        <v>22</v>
      </c>
      <c r="B8" t="s">
        <v>123</v>
      </c>
    </row>
    <row r="9" spans="1:2" x14ac:dyDescent="0.2">
      <c r="A9">
        <v>23</v>
      </c>
      <c r="B9" t="s">
        <v>124</v>
      </c>
    </row>
    <row r="10" spans="1:2" x14ac:dyDescent="0.2">
      <c r="A10">
        <v>24</v>
      </c>
      <c r="B10" t="s">
        <v>124</v>
      </c>
    </row>
    <row r="11" spans="1:2" x14ac:dyDescent="0.2">
      <c r="A11">
        <v>25</v>
      </c>
      <c r="B11" t="s">
        <v>124</v>
      </c>
    </row>
    <row r="12" spans="1:2" x14ac:dyDescent="0.2">
      <c r="A12">
        <v>26</v>
      </c>
      <c r="B12" t="s">
        <v>124</v>
      </c>
    </row>
    <row r="13" spans="1:2" x14ac:dyDescent="0.2">
      <c r="A13">
        <v>27</v>
      </c>
      <c r="B13" t="s">
        <v>125</v>
      </c>
    </row>
    <row r="14" spans="1:2" x14ac:dyDescent="0.2">
      <c r="A14">
        <v>28</v>
      </c>
      <c r="B14" t="s">
        <v>125</v>
      </c>
    </row>
    <row r="15" spans="1:2" x14ac:dyDescent="0.2">
      <c r="A15">
        <v>29</v>
      </c>
      <c r="B15" t="s">
        <v>125</v>
      </c>
    </row>
    <row r="16" spans="1:2" x14ac:dyDescent="0.2">
      <c r="A16">
        <v>30</v>
      </c>
      <c r="B16" t="s">
        <v>125</v>
      </c>
    </row>
    <row r="17" spans="1:2" x14ac:dyDescent="0.2">
      <c r="A17">
        <v>31</v>
      </c>
      <c r="B17" t="s">
        <v>125</v>
      </c>
    </row>
    <row r="18" spans="1:2" x14ac:dyDescent="0.2">
      <c r="A18">
        <v>32</v>
      </c>
      <c r="B18" t="s">
        <v>126</v>
      </c>
    </row>
    <row r="19" spans="1:2" x14ac:dyDescent="0.2">
      <c r="A19">
        <v>33</v>
      </c>
      <c r="B19" t="s">
        <v>126</v>
      </c>
    </row>
    <row r="20" spans="1:2" x14ac:dyDescent="0.2">
      <c r="A20">
        <v>34</v>
      </c>
      <c r="B20" t="s">
        <v>126</v>
      </c>
    </row>
    <row r="21" spans="1:2" x14ac:dyDescent="0.2">
      <c r="A21">
        <v>35</v>
      </c>
      <c r="B21" t="s">
        <v>126</v>
      </c>
    </row>
    <row r="22" spans="1:2" x14ac:dyDescent="0.2">
      <c r="A22">
        <v>36</v>
      </c>
      <c r="B22" t="s">
        <v>127</v>
      </c>
    </row>
    <row r="23" spans="1:2" x14ac:dyDescent="0.2">
      <c r="A23">
        <v>37</v>
      </c>
      <c r="B23" t="s">
        <v>127</v>
      </c>
    </row>
    <row r="24" spans="1:2" x14ac:dyDescent="0.2">
      <c r="A24">
        <v>38</v>
      </c>
      <c r="B24" t="s">
        <v>127</v>
      </c>
    </row>
    <row r="25" spans="1:2" x14ac:dyDescent="0.2">
      <c r="A25">
        <v>39</v>
      </c>
      <c r="B25" t="s">
        <v>127</v>
      </c>
    </row>
    <row r="26" spans="1:2" x14ac:dyDescent="0.2">
      <c r="A26">
        <v>40</v>
      </c>
      <c r="B26" t="s">
        <v>128</v>
      </c>
    </row>
    <row r="27" spans="1:2" x14ac:dyDescent="0.2">
      <c r="A27">
        <v>41</v>
      </c>
      <c r="B27" t="s">
        <v>128</v>
      </c>
    </row>
    <row r="28" spans="1:2" x14ac:dyDescent="0.2">
      <c r="A28">
        <v>42</v>
      </c>
      <c r="B28" t="s">
        <v>128</v>
      </c>
    </row>
    <row r="29" spans="1:2" x14ac:dyDescent="0.2">
      <c r="A29">
        <v>43</v>
      </c>
      <c r="B29" t="s">
        <v>128</v>
      </c>
    </row>
    <row r="30" spans="1:2" x14ac:dyDescent="0.2">
      <c r="A30">
        <v>44</v>
      </c>
      <c r="B30" t="s">
        <v>128</v>
      </c>
    </row>
    <row r="31" spans="1:2" x14ac:dyDescent="0.2">
      <c r="A31">
        <v>45</v>
      </c>
      <c r="B31" t="s">
        <v>129</v>
      </c>
    </row>
    <row r="32" spans="1:2" x14ac:dyDescent="0.2">
      <c r="A32">
        <v>46</v>
      </c>
      <c r="B32" t="s">
        <v>129</v>
      </c>
    </row>
    <row r="33" spans="1:2" x14ac:dyDescent="0.2">
      <c r="A33">
        <v>47</v>
      </c>
      <c r="B33" t="s">
        <v>129</v>
      </c>
    </row>
    <row r="34" spans="1:2" x14ac:dyDescent="0.2">
      <c r="A34">
        <v>48</v>
      </c>
      <c r="B34" t="s">
        <v>129</v>
      </c>
    </row>
    <row r="35" spans="1:2" x14ac:dyDescent="0.2">
      <c r="A35">
        <v>49</v>
      </c>
      <c r="B35" t="s">
        <v>130</v>
      </c>
    </row>
    <row r="36" spans="1:2" x14ac:dyDescent="0.2">
      <c r="A36">
        <v>50</v>
      </c>
      <c r="B36" t="s">
        <v>130</v>
      </c>
    </row>
    <row r="37" spans="1:2" x14ac:dyDescent="0.2">
      <c r="A37">
        <v>51</v>
      </c>
      <c r="B37" t="s">
        <v>130</v>
      </c>
    </row>
    <row r="38" spans="1:2" x14ac:dyDescent="0.2">
      <c r="A38">
        <v>52</v>
      </c>
      <c r="B38" t="s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"/>
  <cols>
    <col min="1" max="1" width="18.0234375" customWidth="1"/>
    <col min="2" max="2" width="25.01953125" customWidth="1"/>
    <col min="3" max="3" width="20.04296875" customWidth="1"/>
    <col min="4" max="4" width="14.9296875" customWidth="1"/>
  </cols>
  <sheetData>
    <row r="1" spans="1:4" x14ac:dyDescent="0.2">
      <c r="A1" s="2" t="s">
        <v>8</v>
      </c>
      <c r="B1" s="2" t="s">
        <v>131</v>
      </c>
      <c r="C1" s="2" t="s">
        <v>31</v>
      </c>
      <c r="D1" s="2" t="s">
        <v>132</v>
      </c>
    </row>
    <row r="2" spans="1:4" x14ac:dyDescent="0.2">
      <c r="A2" t="s">
        <v>122</v>
      </c>
      <c r="B2" t="s">
        <v>133</v>
      </c>
      <c r="C2" s="10">
        <f>SUMIF('Sales Log'!$I:$I,A2,'Sales Log'!$F:$F)</f>
        <v>0</v>
      </c>
      <c r="D2">
        <f>SUMIF('Sales Log'!$I:$I,A2,'Sales Log'!$D:$D)</f>
        <v>0</v>
      </c>
    </row>
    <row r="3" spans="1:4" x14ac:dyDescent="0.2">
      <c r="A3" t="s">
        <v>123</v>
      </c>
      <c r="B3" t="s">
        <v>134</v>
      </c>
      <c r="C3" s="10">
        <f>SUMIF('Sales Log'!$I:$I,A3,'Sales Log'!$F:$F)</f>
        <v>0</v>
      </c>
      <c r="D3">
        <f>SUMIF('Sales Log'!$I:$I,A3,'Sales Log'!$D:$D)</f>
        <v>0</v>
      </c>
    </row>
    <row r="4" spans="1:4" x14ac:dyDescent="0.2">
      <c r="A4" t="s">
        <v>124</v>
      </c>
      <c r="B4" t="s">
        <v>135</v>
      </c>
      <c r="C4" s="10">
        <f>SUMIF('Sales Log'!$I:$I,A4,'Sales Log'!$F:$F)</f>
        <v>0</v>
      </c>
      <c r="D4">
        <f>SUMIF('Sales Log'!$I:$I,A4,'Sales Log'!$D:$D)</f>
        <v>0</v>
      </c>
    </row>
    <row r="5" spans="1:4" x14ac:dyDescent="0.2">
      <c r="A5" t="s">
        <v>125</v>
      </c>
      <c r="B5" t="s">
        <v>136</v>
      </c>
      <c r="C5" s="10">
        <f>SUMIF('Sales Log'!$I:$I,A5,'Sales Log'!$F:$F)</f>
        <v>0</v>
      </c>
      <c r="D5">
        <f>SUMIF('Sales Log'!$I:$I,A5,'Sales Log'!$D:$D)</f>
        <v>0</v>
      </c>
    </row>
    <row r="6" spans="1:4" x14ac:dyDescent="0.2">
      <c r="A6" t="s">
        <v>126</v>
      </c>
      <c r="B6" t="s">
        <v>137</v>
      </c>
      <c r="C6" s="10">
        <f>SUMIF('Sales Log'!$I:$I,A6,'Sales Log'!$F:$F)</f>
        <v>0</v>
      </c>
      <c r="D6">
        <f>SUMIF('Sales Log'!$I:$I,A6,'Sales Log'!$D:$D)</f>
        <v>0</v>
      </c>
    </row>
    <row r="7" spans="1:4" x14ac:dyDescent="0.2">
      <c r="A7" t="s">
        <v>127</v>
      </c>
      <c r="B7" t="s">
        <v>138</v>
      </c>
      <c r="C7" s="10">
        <f>SUMIF('Sales Log'!$I:$I,A7,'Sales Log'!$F:$F)</f>
        <v>0</v>
      </c>
      <c r="D7">
        <f>SUMIF('Sales Log'!$I:$I,A7,'Sales Log'!$D:$D)</f>
        <v>0</v>
      </c>
    </row>
    <row r="8" spans="1:4" x14ac:dyDescent="0.2">
      <c r="A8" t="s">
        <v>128</v>
      </c>
      <c r="B8" t="s">
        <v>139</v>
      </c>
      <c r="C8" s="10">
        <f>SUMIF('Sales Log'!$I:$I,A8,'Sales Log'!$F:$F)</f>
        <v>0</v>
      </c>
      <c r="D8">
        <f>SUMIF('Sales Log'!$I:$I,A8,'Sales Log'!$D:$D)</f>
        <v>0</v>
      </c>
    </row>
    <row r="9" spans="1:4" x14ac:dyDescent="0.2">
      <c r="A9" t="s">
        <v>129</v>
      </c>
      <c r="B9" t="s">
        <v>140</v>
      </c>
      <c r="C9" s="10">
        <f>SUMIF('Sales Log'!$I:$I,A9,'Sales Log'!$F:$F)</f>
        <v>0</v>
      </c>
      <c r="D9">
        <f>SUMIF('Sales Log'!$I:$I,A9,'Sales Log'!$D:$D)</f>
        <v>0</v>
      </c>
    </row>
    <row r="10" spans="1:4" x14ac:dyDescent="0.2">
      <c r="A10" t="s">
        <v>130</v>
      </c>
      <c r="B10" t="s">
        <v>141</v>
      </c>
      <c r="C10" s="10">
        <f>SUMIF('Sales Log'!$I:$I,A10,'Sales Log'!$F:$F)</f>
        <v>0</v>
      </c>
      <c r="D10">
        <f>SUMIF('Sales Log'!$I:$I,A10,'Sales Log'!$D:$D)</f>
        <v>0</v>
      </c>
    </row>
    <row r="12" spans="1:4" x14ac:dyDescent="0.2">
      <c r="A12" s="3" t="s">
        <v>142</v>
      </c>
      <c r="C12" s="12">
        <f>SUM(C2:C11)</f>
        <v>0</v>
      </c>
      <c r="D12" s="3">
        <f>SUM(D2:D11)</f>
        <v>0</v>
      </c>
    </row>
    <row r="13" spans="1:4" x14ac:dyDescent="0.2">
      <c r="A13" s="3" t="s">
        <v>143</v>
      </c>
      <c r="B13" t="s">
        <v>144</v>
      </c>
    </row>
    <row r="14" spans="1:4" x14ac:dyDescent="0.2">
      <c r="A14" t="s">
        <v>145</v>
      </c>
    </row>
    <row r="15" spans="1:4" x14ac:dyDescent="0.2">
      <c r="A15" t="s">
        <v>146</v>
      </c>
    </row>
    <row r="16" spans="1:4" x14ac:dyDescent="0.2">
      <c r="A16" t="s">
        <v>147</v>
      </c>
    </row>
    <row r="17" spans="1:1" x14ac:dyDescent="0.2">
      <c r="A17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Log</vt:lpstr>
      <vt:lpstr>Commission Rates</vt:lpstr>
      <vt:lpstr>Dashboard</vt:lpstr>
      <vt:lpstr>Update History</vt:lpstr>
      <vt:lpstr>Pay Calendar</vt:lpstr>
      <vt:lpstr>Pay Day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2026-09-11T15:59:19Z</dcterms:created>
  <dcterms:modified xsi:type="dcterms:W3CDTF">2026-09-14T11:29:41Z</dcterms:modified>
</cp:coreProperties>
</file>